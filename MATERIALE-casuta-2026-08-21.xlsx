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· Sumar" sheetId="1" state="visible" r:id="rId3"/>
    <sheet name="1 · In cos" sheetId="2" state="visible" r:id="rId4"/>
    <sheet name="2 · De luat la raft" sheetId="3" state="visible" r:id="rId5"/>
    <sheet name="3 · Avem dej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<sst xmlns="http://schemas.openxmlformats.org/spreadsheetml/2006/main" count="206" uniqueCount="157">
  <si>
    <t xml:space="preserve">Casuta din copac — materiale, 21.08.2026</t>
  </si>
  <si>
    <t xml:space="preserve">Leroy Merlin Bucuresti Colosseum. Trei foi: ce e in cos · ce iei de la raft · ce ai deja. Cantitatile vin din planurile de taiere din GHID-CONSTRUCTIE-casa.html, verificate independent pe 21.08.</t>
  </si>
  <si>
    <t xml:space="preserve">In cos, se plateste online</t>
  </si>
  <si>
    <t xml:space="preserve">De luat la raft (estimat)</t>
  </si>
  <si>
    <t xml:space="preserve">TOTAL DRUM</t>
  </si>
  <si>
    <t xml:space="preserve">Trei lucruri de facut, in ordine</t>
  </si>
  <si>
    <t xml:space="preserve">1.</t>
  </si>
  <si>
    <t xml:space="preserve">Cuiele de Onduline, primul lucru — e ultima bucata din stoc si nu se poate rezerva online. Daca s-au terminat: surub de acoperis cu saiba, MINIM 65 mm.</t>
  </si>
  <si>
    <t xml:space="preserve">2.</t>
  </si>
  <si>
    <t xml:space="preserve">Masoara o rigla de 46×46 in magazin, cu ruleta, pe doua-trei bare din stiva. E lemn brut, 46 e cota nominala. Toate verticalele se taie ca LUMINA MINUS DOUA GROSIMI MASURATE — lumina e 1700 spate, 1600 fata, 1669·1741·1818·1890 laterale.</t>
  </si>
  <si>
    <t xml:space="preserve">3.</t>
  </si>
  <si>
    <t xml:space="preserve">Alege fereastra PVC la fata locului. Selectorul stanga/dreapta de pe site e inversat fata de titlul paginii.</t>
  </si>
  <si>
    <t xml:space="preserve">Nu se cumpara — motivul</t>
  </si>
  <si>
    <t xml:space="preserve">Vincluri, zero buc</t>
  </si>
  <si>
    <t xml:space="preserve">Inventarul acopera integral nevoia de 48. Criteriul: un vinclu nu poate fi mai lat decat lemnul pe care sta — cele de 90 nu incap pe rigla de 46, cele de 40 da.</t>
  </si>
  <si>
    <t xml:space="preserve">Rigla 48×48×4000</t>
  </si>
  <si>
    <t xml:space="preserve">Stoc zero la Colosseum si nu se livreaza. Rama a trecut pe 46×46×3000.</t>
  </si>
  <si>
    <t xml:space="preserve">Sadolin / vopsea veche</t>
  </si>
  <si>
    <t xml:space="preserve">Inlocuita de lazura. Uleiul de tec din inventar acopera ~20% si n-are pigment.</t>
  </si>
  <si>
    <t xml:space="preserve">Lambriu 12,5×96</t>
  </si>
  <si>
    <t xml:space="preserve">Prea subtire pentru exterior — se cupeaza si crapa in jurul surubului. Trecut pe 19×116×4000.</t>
  </si>
  <si>
    <t xml:space="preserve">In cos — se plateste online sau la casa</t>
  </si>
  <si>
    <t xml:space="preserve">Cosul Leroy Merlin Bucuresti Colosseum, contul VLAD. Stocuri si preturi verificate live pe 21.08.2026. Cantitatile ies din planurile de taiere din GHID-CONSTRUCTIE-casa.html.</t>
  </si>
  <si>
    <t xml:space="preserve">Produs</t>
  </si>
  <si>
    <t xml:space="preserve">Ref Leroy</t>
  </si>
  <si>
    <t xml:space="preserve">U.M.</t>
  </si>
  <si>
    <t xml:space="preserve">Cant.</t>
  </si>
  <si>
    <t xml:space="preserve">Pret unitar</t>
  </si>
  <si>
    <t xml:space="preserve">Total</t>
  </si>
  <si>
    <t xml:space="preserve">Stoc Colosseum</t>
  </si>
  <si>
    <t xml:space="preserve">Link</t>
  </si>
  <si>
    <t xml:space="preserve">De ce atat</t>
  </si>
  <si>
    <t xml:space="preserve">Lambriu lemn rasinos A/B 19×116×4000, pachet 2,78 m²</t>
  </si>
  <si>
    <t xml:space="preserve">11460946</t>
  </si>
  <si>
    <t xml:space="preserve">pachete</t>
  </si>
  <si>
    <t xml:space="preserve">deschide</t>
  </si>
  <si>
    <t xml:space="preserve">Peretii, toate cele 4. 29 scanduri: spate 9 · laterale 14 · fata 6. Rezerva = 1 scandura.</t>
  </si>
  <si>
    <t xml:space="preserve">Rigla nerindeluita A/B 46×46×3000</t>
  </si>
  <si>
    <t xml:space="preserve">11840752</t>
  </si>
  <si>
    <t xml:space="preserve">bare</t>
  </si>
  <si>
    <t xml:space="preserve">Rama tuturor peretilor + tocurile de geam. 25 bare taiate (E2 7 · E3 12 · E4 6) + 2 rezerva.</t>
  </si>
  <si>
    <t xml:space="preserve">Lazura exterior Luxens, pe baza de apa, stejar mediu, 5 L</t>
  </si>
  <si>
    <t xml:space="preserve">12099073</t>
  </si>
  <si>
    <t xml:space="preserve">galeti</t>
  </si>
  <si>
    <t xml:space="preserve">48,4 m² de tratat × 2 straturi = 97 m². La 70 m²/galeata ies 6,9 L.</t>
  </si>
  <si>
    <t xml:space="preserve">OSB 12 mm, 2500×1250, clasa 3</t>
  </si>
  <si>
    <t xml:space="preserve">11377982</t>
  </si>
  <si>
    <t xml:space="preserve">placi</t>
  </si>
  <si>
    <t xml:space="preserve">Astereala acoperisului: 2200×1250 + 2200×639.</t>
  </si>
  <si>
    <t xml:space="preserve">Scandura nerindeluita 22×100×4000</t>
  </si>
  <si>
    <t xml:space="preserve">11391653</t>
  </si>
  <si>
    <t xml:space="preserve">Capriori laminati: 5 capriori × 2 straturi de 1889 = 5 bare, a 6-a inchiderile, a 7-a rezerva.</t>
  </si>
  <si>
    <t xml:space="preserve">Placa ondulata Onduline Base 2000×860×2,6, MARO</t>
  </si>
  <si>
    <t xml:space="preserve">11423090</t>
  </si>
  <si>
    <t xml:space="preserve">Maro, nu rosu: 41,23 fata de 46,88 lei si stoc 146 fata de 15. Se pun intregi, nu se taie.</t>
  </si>
  <si>
    <t xml:space="preserve">Placa plexiglas Hobbyglass 500×1000×4 transparenta</t>
  </si>
  <si>
    <t xml:space="preserve">10530975</t>
  </si>
  <si>
    <t xml:space="preserve">Ambele geamuri laterale de 440×440 ies dintr-o placa.</t>
  </si>
  <si>
    <t xml:space="preserve">Conector lemn de imbinare, otel, 90×200×2,5</t>
  </si>
  <si>
    <t xml:space="preserve">11666081</t>
  </si>
  <si>
    <t xml:space="preserve">buc</t>
  </si>
  <si>
    <t xml:space="preserve">Placile de deasupra fiecarui stalp, sub reazem. Singurul metal care se mai cumpara.</t>
  </si>
  <si>
    <t xml:space="preserve">Sipca rindeluita 18×28×3000</t>
  </si>
  <si>
    <t xml:space="preserve">11391940</t>
  </si>
  <si>
    <t xml:space="preserve">Baghetele geamurilor: 2 geamuri × 2 fete × 4 laturi de 490 = 7,84 m. Doua bare nu ajung.</t>
  </si>
  <si>
    <t xml:space="preserve">TOTAL IN COS</t>
  </si>
  <si>
    <t xml:space="preserve">De luat de la raft — nu sunt in cos</t>
  </si>
  <si>
    <t xml:space="preserve">Fie nu se pot comanda online (cuiele), fie se cantaresc la casa (suruburile vrac), fie le alegi tu la fata locului (fereastra, siliconul). Preturile la vrac sunt orientative.</t>
  </si>
  <si>
    <t xml:space="preserve">~Pret unitar</t>
  </si>
  <si>
    <t xml:space="preserve">~Total</t>
  </si>
  <si>
    <t xml:space="preserve">Stoc</t>
  </si>
  <si>
    <t xml:space="preserve">De ce, si ce sa nu iei</t>
  </si>
  <si>
    <t xml:space="preserve">Cuie Onduline 65×2,8 cu capac, set 400</t>
  </si>
  <si>
    <t xml:space="preserve">10424624</t>
  </si>
  <si>
    <t xml:space="preserve">set</t>
  </si>
  <si>
    <t xml:space="preserve">1 — BLOCAT ONLINE</t>
  </si>
  <si>
    <t xml:space="preserve">PRIMUL LUCRU IN MAGAZIN. Nu se poate adauga in cos online — incercat de doua ori. Daca s-a terminat: surub de acoperis cu saiba de cauciuc, MINIM 65 mm. Valul are ~38 mm + 12 mm OSB; sub 55 mm nu ajunge in astereala. Cele de 4,8×19 NU merg.</t>
  </si>
  <si>
    <t xml:space="preserve">Fereastra PVC termopan 56×56, 4 camere</t>
  </si>
  <si>
    <t xml:space="preserve">10649086 / 10649093</t>
  </si>
  <si>
    <t xml:space="preserve">73 / 37</t>
  </si>
  <si>
    <t xml:space="preserve">O ALEGI TU la fata locului. Selectorul stanga/dreapta de pe site e inversat fata de titlul paginii — nu am vrut sa comand orientarea gresita.</t>
  </si>
  <si>
    <t xml:space="preserve">Silicon de exterior</t>
  </si>
  <si>
    <t xml:space="preserve">—</t>
  </si>
  <si>
    <t xml:space="preserve">tuburi</t>
  </si>
  <si>
    <t xml:space="preserve">multe variante</t>
  </si>
  <si>
    <t xml:space="preserve">Rosturile geamurilor laterale si ale ferestrei din fata. Prea multe variante ca sa aleg eu.</t>
  </si>
  <si>
    <t xml:space="preserve">Surub inox A2 4×50</t>
  </si>
  <si>
    <t xml:space="preserve">vrac</t>
  </si>
  <si>
    <t xml:space="preserve">Lambriul: un surub pe fiecare intersectie lamela-verticala — spate 85 · laterale 144 · fata 80 = 309. Plus 50 pentru sipcile de geam. 4×50, nu 4×40: lamela are 19 mm, ii trebuie 25 in rigla. Zincat ~40 lei (poate lasa rugina), inox ~155.</t>
  </si>
  <si>
    <t xml:space="preserve">Surub 4×45, cutie</t>
  </si>
  <si>
    <t xml:space="preserve">Placile de OSB in capriori, la ~250 mm.</t>
  </si>
  <si>
    <t xml:space="preserve">Surub 4×40, cutie</t>
  </si>
  <si>
    <t xml:space="preserve">Laminarea capriorilor: 2 scanduri de 22×100 insurubate in zigzag la 300.</t>
  </si>
  <si>
    <t xml:space="preserve">Surub dulgherie 6×140</t>
  </si>
  <si>
    <t xml:space="preserve">Talpile peretilor prin podea, in grinzi, la 400 mm: spate 6 · laterali 10 · fata 6 = 22, plus 2 rezerva.</t>
  </si>
  <si>
    <t xml:space="preserve">Surub dulgherie 8×140</t>
  </si>
  <si>
    <t xml:space="preserve">Peretele din spate in stalpii de 4 m (8) si prinderea finala a stalpilor din fata (8). Nu 36 — cele 20 pentru blocajele de colt au iesit, lucrarea e facuta.</t>
  </si>
  <si>
    <t xml:space="preserve">Surub dulgherie 6×80</t>
  </si>
  <si>
    <t xml:space="preserve">Contrafisele si proptelele, 2 la fiecare capat. 6×80, nu 6×100: coltul din rigla 46+46 are 92 mm, unul de 100 ar iesi 8 mm pe partea cealalta. Ai deja 20 Heco 6×80.</t>
  </si>
  <si>
    <t xml:space="preserve">TOTAL LA RAFT (estimat)</t>
  </si>
  <si>
    <t xml:space="preserve">Avem deja — nu se cumpara nimic de aici</t>
  </si>
  <si>
    <t xml:space="preserve">Inventarul din 21.08.2026 plus ce e montat pe santier. Feroneria de aici acopera INTEGRAL nevoia de 48 de vincluri a casei — de aceea randurile de 90×65 si 100×90 au iesit din cos.</t>
  </si>
  <si>
    <t xml:space="preserve">Categorie</t>
  </si>
  <si>
    <t xml:space="preserve">Material</t>
  </si>
  <si>
    <t xml:space="preserve">Cantitate</t>
  </si>
  <si>
    <t xml:space="preserve">Unde intra / de ce nu se cumpara</t>
  </si>
  <si>
    <t xml:space="preserve">LEMN</t>
  </si>
  <si>
    <t xml:space="preserve">Dulap 200×50×4000</t>
  </si>
  <si>
    <t xml:space="preserve">2 bare intregi</t>
  </si>
  <si>
    <t xml:space="preserve">Reazemul acoperisului din spate — se taie la 2200, se aseaza pe muchie cu 200 in sus. A doua ramane rezerva flexibila.</t>
  </si>
  <si>
    <t xml:space="preserve">Bara 90×90×4000</t>
  </si>
  <si>
    <t xml:space="preserve">1 bara</t>
  </si>
  <si>
    <t xml:space="preserve">Rezerva.</t>
  </si>
  <si>
    <t xml:space="preserve">Bara 100×60 — offcut</t>
  </si>
  <si>
    <t xml:space="preserve">845 mm</t>
  </si>
  <si>
    <t xml:space="preserve">Din bara de 3000 folosita la peretele din fata (taiata la 2155).</t>
  </si>
  <si>
    <t xml:space="preserve">Dusumea larice 28×145×3000</t>
  </si>
  <si>
    <t xml:space="preserve">1 bucata</t>
  </si>
  <si>
    <t xml:space="preserve">Blatul cioatei-masuta: taiata in 6 bucati de 500 si lipita.</t>
  </si>
  <si>
    <t xml:space="preserve">MONTAT</t>
  </si>
  <si>
    <t xml:space="preserve">Stalpi spate 100×100</t>
  </si>
  <si>
    <t xml:space="preserve">2 buc</t>
  </si>
  <si>
    <t xml:space="preserve">Intregi, 4 m, ies 1700 peste podea. NU se cumpara, NU se taie — peretii se prind IN ei.</t>
  </si>
  <si>
    <t xml:space="preserve">Stalpi fata 90×90</t>
  </si>
  <si>
    <t xml:space="preserve">Taiati, 1600 peste podea. Idem.</t>
  </si>
  <si>
    <t xml:space="preserve">Podeaua, glulamul, puntea</t>
  </si>
  <si>
    <t xml:space="preserve">Faza 1, terminata. Podeaua inchisa integral, blocajele de colt montate toate 4, cioata retezata.</t>
  </si>
  <si>
    <t xml:space="preserve">FERONERIE</t>
  </si>
  <si>
    <t xml:space="preserve">Vinclu Parkside 40×40×40×2</t>
  </si>
  <si>
    <t xml:space="preserve">32 buc (2 pungi)</t>
  </si>
  <si>
    <t xml:space="preserve">Colturile de rama (14) + capetele de capriori (18). Zincate TERMIC ≥19 μm — mai bine protejate decat electrogalvanizatul din magazin. 1550 N bucata.</t>
  </si>
  <si>
    <t xml:space="preserve">Vinclu 70×55</t>
  </si>
  <si>
    <t xml:space="preserve">10 buc</t>
  </si>
  <si>
    <t xml:space="preserve">Reazemul din spate, dulapul de 200×50, pe ambele fete. Exact 10 cate ai.</t>
  </si>
  <si>
    <t xml:space="preserve">Vinclu 90×60</t>
  </si>
  <si>
    <t xml:space="preserve">6 buc</t>
  </si>
  <si>
    <t xml:space="preserve">Stalpii de 90×90 din fata (4) + ultimele doua capete de caprior (2).</t>
  </si>
  <si>
    <t xml:space="preserve">Vinclu 90×100</t>
  </si>
  <si>
    <t xml:space="preserve">4 buc</t>
  </si>
  <si>
    <t xml:space="preserve">Rezerva. 100 mm latime cer lemn de 100 — doar stalpii din spate.</t>
  </si>
  <si>
    <t xml:space="preserve">SURUBURI</t>
  </si>
  <si>
    <t xml:space="preserve">Heco Topix 8×200</t>
  </si>
  <si>
    <t xml:space="preserve">20 buc</t>
  </si>
  <si>
    <t xml:space="preserve">Din faza 1.</t>
  </si>
  <si>
    <t xml:space="preserve">Heco Topix 6×100</t>
  </si>
  <si>
    <t xml:space="preserve">NU se folosesc la colturi — coltul din 46+46 are 92 mm, unul de 100 ar iesi 8 mm.</t>
  </si>
  <si>
    <t xml:space="preserve">Heco Topix 6×80</t>
  </si>
  <si>
    <t xml:space="preserve">Se folosesc la colturi. Mai trebuie ~40.</t>
  </si>
  <si>
    <t xml:space="preserve">Surub M12×120 inox · piulite M12</t>
  </si>
  <si>
    <t xml:space="preserve">17 · 80</t>
  </si>
  <si>
    <t xml:space="preserve">Din faza 1. Tija M12 ramasa: 120 mm.</t>
  </si>
  <si>
    <t xml:space="preserve">PROTECTIE</t>
  </si>
  <si>
    <t xml:space="preserve">Ulei de tec</t>
  </si>
  <si>
    <t xml:space="preserve">2 L</t>
  </si>
  <si>
    <t xml:space="preserve">NU pentru casa — n-are pigment, deci zero protectie UV, si ar acoperi ~20%. Pentru dusumeaua de larice de pe punte si blatul cioatei, unde e produsul corect.</t>
  </si>
  <si>
    <t xml:space="preserve">Grund Köber</t>
  </si>
  <si>
    <t xml:space="preserve">De verificat pe eticheta daca e de exterior inainte de a-l folosi la ceva.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</si>
</sst>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lei&quot;"/>
    <numFmt numFmtId="166" formatCode="#,##0"/>
    <numFmt numFmtId="167" formatCode="#,##0&quot; lei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C1B18"/>
      <name val="Arial"/>
      <family val="0"/>
      <charset val="1"/>
    </font>
    <font>
      <sz val="9"/>
      <color rgb="FF6B67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1C1B18"/>
      <name val="Arial"/>
      <family val="0"/>
      <charset val="1"/>
    </font>
    <font>
      <b val="true"/>
      <sz val="11"/>
      <color rgb="FF1C1B18"/>
      <name val="Arial"/>
      <family val="0"/>
      <charset val="1"/>
    </font>
    <font>
      <b val="true"/>
      <sz val="13"/>
      <color rgb="FF14532D"/>
      <name val="Arial"/>
      <family val="0"/>
      <charset val="1"/>
    </font>
    <font>
      <b val="true"/>
      <sz val="9"/>
      <color rgb="FF8A3016"/>
      <name val="Arial"/>
      <family val="0"/>
      <charset val="1"/>
    </font>
    <font>
      <sz val="9"/>
      <color rgb="FF1C1B18"/>
      <name val="Arial"/>
      <family val="0"/>
      <charset val="1"/>
    </font>
    <font>
      <sz val="8"/>
      <color rgb="FF6B675E"/>
      <name val="Arial"/>
      <family val="0"/>
      <charset val="1"/>
    </font>
    <font>
      <b val="true"/>
      <sz val="9"/>
      <color rgb="FF1C1B18"/>
      <name val="Arial"/>
      <family val="0"/>
      <charset val="1"/>
    </font>
    <font>
      <u val="single"/>
      <sz val="9"/>
      <color rgb="FF14532D"/>
      <name val="Arial"/>
      <family val="0"/>
      <charset val="1"/>
    </font>
    <font>
      <b val="true"/>
      <sz val="11"/>
      <color rgb="FF14532D"/>
      <name val="Arial"/>
      <family val="0"/>
      <charset val="1"/>
    </font>
    <font>
      <b val="true"/>
      <sz val="11"/>
      <color rgb="FF8A3016"/>
      <name val="Arial"/>
      <family val="0"/>
      <charset val="1"/>
    </font>
    <font>
      <b val="true"/>
      <sz val="8"/>
      <color rgb="FF8A301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532D"/>
        <bgColor rgb="FF003300"/>
      </patternFill>
    </fill>
    <fill>
      <patternFill patternType="solid">
        <fgColor rgb="FFE4EDE2"/>
        <bgColor rgb="FFF3F0E8"/>
      </patternFill>
    </fill>
    <fill>
      <patternFill patternType="solid">
        <fgColor rgb="FFF3F0E8"/>
        <bgColor rgb="FFFBEEE6"/>
      </patternFill>
    </fill>
    <fill>
      <patternFill patternType="solid">
        <fgColor rgb="FFFBEEE6"/>
        <bgColor rgb="FFF3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C9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9BC"/>
      <rgbColor rgb="FF808080"/>
      <rgbColor rgb="FF9999FF"/>
      <rgbColor rgb="FF993366"/>
      <rgbColor rgb="FFFBEEE6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D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75E"/>
      <rgbColor rgb="FF969696"/>
      <rgbColor rgb="FF003366"/>
      <rgbColor rgb="FF339966"/>
      <rgbColor rgb="FF003300"/>
      <rgbColor rgb="FF1C1B18"/>
      <rgbColor rgb="FF8A3016"/>
      <rgbColor rgb="FF993366"/>
      <rgbColor rgb="FF333399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eroymerlin.ro/produse/lambriu-lemn-rasinos-calitatea-a-b-19-x-116-x-4000-mm-2-78-m2-11460946.html" TargetMode="External"/><Relationship Id="rId2" Type="http://schemas.openxmlformats.org/officeDocument/2006/relationships/hyperlink" Target="https://www.leroymerlin.ro/produse/rigla-nerindeluita-lemn-rasinoase-calitatea-a-b-46-x-46-x-3000-mm-11840752.html" TargetMode="External"/><Relationship Id="rId3" Type="http://schemas.openxmlformats.org/officeDocument/2006/relationships/hyperlink" Target="https://www.leroymerlin.ro/produse/lazura-lemn-luxens-pe-baza-de-apa-pentru-protectie-ridicata-exterior-stejar-mediu-5-l-12099073.html" TargetMode="External"/><Relationship Id="rId4" Type="http://schemas.openxmlformats.org/officeDocument/2006/relationships/hyperlink" Target="https://www.leroymerlin.ro/produse/osb-12-mm-2500-x-1250-mm-clasa-3-11377982.html" TargetMode="External"/><Relationship Id="rId5" Type="http://schemas.openxmlformats.org/officeDocument/2006/relationships/hyperlink" Target="https://www.leroymerlin.ro/produse/scandura-nerindeluita-lemn-rasinoase-22-x-100-x-4000-mm-11391653.html" TargetMode="External"/><Relationship Id="rId6" Type="http://schemas.openxmlformats.org/officeDocument/2006/relationships/hyperlink" Target="https://www.leroymerlin.ro/produse/placa-ondulata-onduline-base-bitum-2000-x-860-x-2-60-mm-maro-mat-11423090.html" TargetMode="External"/><Relationship Id="rId7" Type="http://schemas.openxmlformats.org/officeDocument/2006/relationships/hyperlink" Target="https://www.leroymerlin.ro/produse/placa-plexiglas-hobbyglass-50-x-100-cm-grosime-4-mm-transparenta-10530975.html" TargetMode="External"/><Relationship Id="rId8" Type="http://schemas.openxmlformats.org/officeDocument/2006/relationships/hyperlink" Target="https://www.leroymerlin.ro/produse/conector-lemn-de-imbinare-otel-90-x-200-mm-grosime-2-5-mm-11666081.html" TargetMode="External"/><Relationship Id="rId9" Type="http://schemas.openxmlformats.org/officeDocument/2006/relationships/hyperlink" Target="https://www.leroymerlin.ro/produse/sipca-rindeluita-lemn-rasinoase-18-x-28-x-3000-mm-11391940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eroymerlin.ro/produse/cuie-metal-65-x-2-8-mm-rosu-mat-set-400-buc-10424624.html" TargetMode="External"/><Relationship Id="rId2" Type="http://schemas.openxmlformats.org/officeDocument/2006/relationships/hyperlink" Target="https://www.leroymerlin.ro/produse/fereastra-pvc-termopan-4-camere-56-x-56-cm-deschidere-simpla-stanga-alba-10649086.html" TargetMode="External"/><Relationship Id="rId3" Type="http://schemas.openxmlformats.org/officeDocument/2006/relationships/hyperlink" Target="https://www.leroymerlin.ro/search?q=silicon+etansare+exterior" TargetMode="External"/><Relationship Id="rId4" Type="http://schemas.openxmlformats.org/officeDocument/2006/relationships/hyperlink" Target="https://www.leroymerlin.ro/search?q=surub+inox+a2+4x50" TargetMode="External"/><Relationship Id="rId5" Type="http://schemas.openxmlformats.org/officeDocument/2006/relationships/hyperlink" Target="https://www.leroymerlin.ro/search?q=surub+lemn+4x45" TargetMode="External"/><Relationship Id="rId6" Type="http://schemas.openxmlformats.org/officeDocument/2006/relationships/hyperlink" Target="https://www.leroymerlin.ro/search?q=surub+lemn+4x40" TargetMode="External"/><Relationship Id="rId7" Type="http://schemas.openxmlformats.org/officeDocument/2006/relationships/hyperlink" Target="https://www.leroymerlin.ro/search?q=surub+dulgherie+6x140" TargetMode="External"/><Relationship Id="rId8" Type="http://schemas.openxmlformats.org/officeDocument/2006/relationships/hyperlink" Target="https://www.leroymerlin.ro/search?q=surub+dulgherie+8x140" TargetMode="External"/><Relationship Id="rId9" Type="http://schemas.openxmlformats.org/officeDocument/2006/relationships/hyperlink" Target="https://www.leroymerlin.ro/search?q=surub+dulgherie+6x8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0"/>
    <col collapsed="false" customWidth="true" hidden="false" outlineLevel="0" max="4" min="4" style="0" width="9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/>
      <c r="B4" s="3"/>
      <c r="C4" s="3"/>
      <c r="D4" s="3"/>
    </row>
    <row r="6" customFormat="false" ht="15" hidden="false" customHeight="false" outlineLevel="0" collapsed="false">
      <c r="A6" s="4" t="s">
        <v>2</v>
      </c>
      <c r="B6" s="5" t="n">
        <f aca="false">'1 · In cos'!F14</f>
        <v>2525.65</v>
      </c>
    </row>
    <row r="7" customFormat="false" ht="15" hidden="false" customHeight="false" outlineLevel="0" collapsed="false">
      <c r="A7" s="4" t="s">
        <v>3</v>
      </c>
      <c r="B7" s="5" t="n">
        <f aca="false">'2 · De luat la raft'!F14</f>
        <v>554.09</v>
      </c>
    </row>
    <row r="8" customFormat="false" ht="16.15" hidden="false" customHeight="false" outlineLevel="0" collapsed="false">
      <c r="A8" s="6" t="s">
        <v>4</v>
      </c>
      <c r="B8" s="7" t="n">
        <f aca="false">B6+B7</f>
        <v>3079.74</v>
      </c>
    </row>
    <row r="10" customFormat="false" ht="15" hidden="false" customHeight="false" outlineLevel="0" collapsed="false">
      <c r="A10" s="8" t="s">
        <v>5</v>
      </c>
    </row>
    <row r="11" customFormat="false" ht="30" hidden="false" customHeight="true" outlineLevel="0" collapsed="false">
      <c r="A11" s="9" t="s">
        <v>6</v>
      </c>
      <c r="B11" s="10" t="s">
        <v>7</v>
      </c>
      <c r="C11" s="10"/>
      <c r="D11" s="10"/>
    </row>
    <row r="12" customFormat="false" ht="30" hidden="false" customHeight="true" outlineLevel="0" collapsed="false">
      <c r="A12" s="9" t="s">
        <v>8</v>
      </c>
      <c r="B12" s="10" t="s">
        <v>9</v>
      </c>
      <c r="C12" s="10"/>
      <c r="D12" s="10"/>
    </row>
    <row r="13" customFormat="false" ht="30" hidden="false" customHeight="true" outlineLevel="0" collapsed="false">
      <c r="A13" s="9" t="s">
        <v>10</v>
      </c>
      <c r="B13" s="10" t="s">
        <v>11</v>
      </c>
      <c r="C13" s="10"/>
      <c r="D13" s="10"/>
    </row>
    <row r="15" customFormat="false" ht="15" hidden="false" customHeight="false" outlineLevel="0" collapsed="false">
      <c r="A15" s="8" t="s">
        <v>12</v>
      </c>
    </row>
    <row r="16" customFormat="false" ht="25.5" hidden="false" customHeight="true" outlineLevel="0" collapsed="false">
      <c r="A16" s="9" t="s">
        <v>13</v>
      </c>
      <c r="B16" s="11" t="s">
        <v>14</v>
      </c>
      <c r="C16" s="11"/>
      <c r="D16" s="11"/>
    </row>
    <row r="17" customFormat="false" ht="25.5" hidden="false" customHeight="true" outlineLevel="0" collapsed="false">
      <c r="A17" s="9" t="s">
        <v>15</v>
      </c>
      <c r="B17" s="11" t="s">
        <v>16</v>
      </c>
      <c r="C17" s="11"/>
      <c r="D17" s="11"/>
    </row>
    <row r="18" customFormat="false" ht="25.5" hidden="false" customHeight="true" outlineLevel="0" collapsed="false">
      <c r="A18" s="9" t="s">
        <v>17</v>
      </c>
      <c r="B18" s="11" t="s">
        <v>18</v>
      </c>
      <c r="C18" s="11"/>
      <c r="D18" s="11"/>
    </row>
    <row r="19" customFormat="false" ht="25.5" hidden="false" customHeight="true" outlineLevel="0" collapsed="false">
      <c r="A19" s="9" t="s">
        <v>19</v>
      </c>
      <c r="B19" s="11" t="s">
        <v>20</v>
      </c>
      <c r="C19" s="11"/>
      <c r="D19" s="11"/>
    </row>
  </sheetData>
  <mergeCells count="9">
    <mergeCell ref="A1:D1"/>
    <mergeCell ref="A2:D2"/>
    <mergeCell ref="B11:D11"/>
    <mergeCell ref="B12:D12"/>
    <mergeCell ref="B13:D13"/>
    <mergeCell ref="B16:D16"/>
    <mergeCell ref="B17:D17"/>
    <mergeCell ref="B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62"/>
  </cols>
  <sheetData>
    <row r="1" customFormat="false" ht="18.55" hidden="false" customHeight="fals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22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</row>
    <row r="5" customFormat="false" ht="33.75" hidden="false" customHeight="true" outlineLevel="0" collapsed="false">
      <c r="A5" s="12" t="s">
        <v>32</v>
      </c>
      <c r="B5" s="13" t="s">
        <v>33</v>
      </c>
      <c r="C5" s="13" t="s">
        <v>34</v>
      </c>
      <c r="D5" s="14" t="n">
        <v>5</v>
      </c>
      <c r="E5" s="15" t="n">
        <v>203</v>
      </c>
      <c r="F5" s="16" t="n">
        <f aca="false">D5*E5</f>
        <v>1015</v>
      </c>
      <c r="G5" s="17" t="n">
        <v>133</v>
      </c>
      <c r="H5" s="18" t="s">
        <v>35</v>
      </c>
      <c r="I5" s="19" t="s">
        <v>36</v>
      </c>
    </row>
    <row r="6" customFormat="false" ht="33.75" hidden="false" customHeight="true" outlineLevel="0" collapsed="false">
      <c r="A6" s="20" t="s">
        <v>37</v>
      </c>
      <c r="B6" s="21" t="s">
        <v>38</v>
      </c>
      <c r="C6" s="21" t="s">
        <v>39</v>
      </c>
      <c r="D6" s="22" t="n">
        <v>27</v>
      </c>
      <c r="E6" s="23" t="n">
        <v>24.91</v>
      </c>
      <c r="F6" s="24" t="n">
        <f aca="false">D6*E6</f>
        <v>672.57</v>
      </c>
      <c r="G6" s="25" t="n">
        <v>188</v>
      </c>
      <c r="H6" s="26" t="s">
        <v>35</v>
      </c>
      <c r="I6" s="27" t="s">
        <v>40</v>
      </c>
    </row>
    <row r="7" customFormat="false" ht="33.75" hidden="false" customHeight="true" outlineLevel="0" collapsed="false">
      <c r="A7" s="12" t="s">
        <v>41</v>
      </c>
      <c r="B7" s="13" t="s">
        <v>42</v>
      </c>
      <c r="C7" s="13" t="s">
        <v>43</v>
      </c>
      <c r="D7" s="14" t="n">
        <v>2</v>
      </c>
      <c r="E7" s="15" t="n">
        <v>141.84</v>
      </c>
      <c r="F7" s="16" t="n">
        <f aca="false">D7*E7</f>
        <v>283.68</v>
      </c>
      <c r="G7" s="17" t="n">
        <v>7</v>
      </c>
      <c r="H7" s="18" t="s">
        <v>35</v>
      </c>
      <c r="I7" s="19" t="s">
        <v>44</v>
      </c>
    </row>
    <row r="8" customFormat="false" ht="33.75" hidden="false" customHeight="true" outlineLevel="0" collapsed="false">
      <c r="A8" s="20" t="s">
        <v>45</v>
      </c>
      <c r="B8" s="21" t="s">
        <v>46</v>
      </c>
      <c r="C8" s="21" t="s">
        <v>47</v>
      </c>
      <c r="D8" s="22" t="n">
        <v>2</v>
      </c>
      <c r="E8" s="23" t="n">
        <v>79.33</v>
      </c>
      <c r="F8" s="24" t="n">
        <f aca="false">D8*E8</f>
        <v>158.66</v>
      </c>
      <c r="G8" s="25" t="n">
        <v>1115</v>
      </c>
      <c r="H8" s="26" t="s">
        <v>35</v>
      </c>
      <c r="I8" s="27" t="s">
        <v>48</v>
      </c>
    </row>
    <row r="9" customFormat="false" ht="33.75" hidden="false" customHeight="true" outlineLevel="0" collapsed="false">
      <c r="A9" s="12" t="s">
        <v>49</v>
      </c>
      <c r="B9" s="13" t="s">
        <v>50</v>
      </c>
      <c r="C9" s="13" t="s">
        <v>39</v>
      </c>
      <c r="D9" s="14" t="n">
        <v>7</v>
      </c>
      <c r="E9" s="15" t="n">
        <v>19.89</v>
      </c>
      <c r="F9" s="16" t="n">
        <f aca="false">D9*E9</f>
        <v>139.23</v>
      </c>
      <c r="G9" s="17" t="n">
        <v>733</v>
      </c>
      <c r="H9" s="18" t="s">
        <v>35</v>
      </c>
      <c r="I9" s="19" t="s">
        <v>51</v>
      </c>
    </row>
    <row r="10" customFormat="false" ht="33.75" hidden="false" customHeight="true" outlineLevel="0" collapsed="false">
      <c r="A10" s="20" t="s">
        <v>52</v>
      </c>
      <c r="B10" s="21" t="s">
        <v>53</v>
      </c>
      <c r="C10" s="21" t="s">
        <v>47</v>
      </c>
      <c r="D10" s="22" t="n">
        <v>3</v>
      </c>
      <c r="E10" s="23" t="n">
        <v>41.23</v>
      </c>
      <c r="F10" s="24" t="n">
        <f aca="false">D10*E10</f>
        <v>123.69</v>
      </c>
      <c r="G10" s="25" t="n">
        <v>146</v>
      </c>
      <c r="H10" s="26" t="s">
        <v>35</v>
      </c>
      <c r="I10" s="27" t="s">
        <v>54</v>
      </c>
    </row>
    <row r="11" customFormat="false" ht="33.75" hidden="false" customHeight="true" outlineLevel="0" collapsed="false">
      <c r="A11" s="12" t="s">
        <v>55</v>
      </c>
      <c r="B11" s="13" t="s">
        <v>56</v>
      </c>
      <c r="C11" s="13" t="s">
        <v>47</v>
      </c>
      <c r="D11" s="14" t="n">
        <v>1</v>
      </c>
      <c r="E11" s="15" t="n">
        <v>71.99</v>
      </c>
      <c r="F11" s="16" t="n">
        <f aca="false">D11*E11</f>
        <v>71.99</v>
      </c>
      <c r="G11" s="17" t="n">
        <v>23</v>
      </c>
      <c r="H11" s="18" t="s">
        <v>35</v>
      </c>
      <c r="I11" s="19" t="s">
        <v>57</v>
      </c>
    </row>
    <row r="12" customFormat="false" ht="33.75" hidden="false" customHeight="true" outlineLevel="0" collapsed="false">
      <c r="A12" s="20" t="s">
        <v>58</v>
      </c>
      <c r="B12" s="21" t="s">
        <v>59</v>
      </c>
      <c r="C12" s="21" t="s">
        <v>60</v>
      </c>
      <c r="D12" s="22" t="n">
        <v>4</v>
      </c>
      <c r="E12" s="23" t="n">
        <v>8.99</v>
      </c>
      <c r="F12" s="24" t="n">
        <f aca="false">D12*E12</f>
        <v>35.96</v>
      </c>
      <c r="G12" s="25" t="n">
        <v>41</v>
      </c>
      <c r="H12" s="26" t="s">
        <v>35</v>
      </c>
      <c r="I12" s="27" t="s">
        <v>61</v>
      </c>
    </row>
    <row r="13" customFormat="false" ht="33.75" hidden="false" customHeight="true" outlineLevel="0" collapsed="false">
      <c r="A13" s="12" t="s">
        <v>62</v>
      </c>
      <c r="B13" s="13" t="s">
        <v>63</v>
      </c>
      <c r="C13" s="13" t="s">
        <v>39</v>
      </c>
      <c r="D13" s="14" t="n">
        <v>3</v>
      </c>
      <c r="E13" s="15" t="n">
        <v>8.29</v>
      </c>
      <c r="F13" s="16" t="n">
        <f aca="false">D13*E13</f>
        <v>24.87</v>
      </c>
      <c r="G13" s="17" t="n">
        <v>547</v>
      </c>
      <c r="H13" s="18" t="s">
        <v>35</v>
      </c>
      <c r="I13" s="19" t="s">
        <v>64</v>
      </c>
    </row>
    <row r="14" customFormat="false" ht="15" hidden="false" customHeight="false" outlineLevel="0" collapsed="false">
      <c r="A14" s="6" t="s">
        <v>65</v>
      </c>
      <c r="B14" s="28"/>
      <c r="C14" s="28"/>
      <c r="D14" s="28"/>
      <c r="E14" s="28"/>
      <c r="F14" s="29" t="n">
        <f aca="false">SUM(F5:F13)</f>
        <v>2525.65</v>
      </c>
      <c r="G14" s="28"/>
      <c r="H14" s="28"/>
      <c r="I14" s="28"/>
    </row>
  </sheetData>
  <mergeCells count="2">
    <mergeCell ref="A1:I1"/>
    <mergeCell ref="A2:I2"/>
  </mergeCells>
  <hyperlinks>
    <hyperlink ref="H5" r:id="rId1" display="deschide"/>
    <hyperlink ref="H6" r:id="rId2" display="deschide"/>
    <hyperlink ref="H7" r:id="rId3" display="deschide"/>
    <hyperlink ref="H8" r:id="rId4" display="deschide"/>
    <hyperlink ref="H9" r:id="rId5" display="deschide"/>
    <hyperlink ref="H10" r:id="rId6" display="deschide"/>
    <hyperlink ref="H11" r:id="rId7" display="deschide"/>
    <hyperlink ref="H12" r:id="rId8" display="deschide"/>
    <hyperlink ref="H13" r:id="rId9" display="deschi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70"/>
  </cols>
  <sheetData>
    <row r="1" customFormat="false" ht="18.55" hidden="false" customHeight="fals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67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68</v>
      </c>
      <c r="F4" s="3" t="s">
        <v>69</v>
      </c>
      <c r="G4" s="3" t="s">
        <v>70</v>
      </c>
      <c r="H4" s="3" t="s">
        <v>30</v>
      </c>
      <c r="I4" s="3" t="s">
        <v>71</v>
      </c>
    </row>
    <row r="5" customFormat="false" ht="45.75" hidden="false" customHeight="true" outlineLevel="0" collapsed="false">
      <c r="A5" s="30" t="s">
        <v>72</v>
      </c>
      <c r="B5" s="31" t="s">
        <v>73</v>
      </c>
      <c r="C5" s="32" t="s">
        <v>74</v>
      </c>
      <c r="D5" s="33" t="n">
        <v>1</v>
      </c>
      <c r="E5" s="34" t="n">
        <v>96.9</v>
      </c>
      <c r="F5" s="35" t="n">
        <f aca="false">D5*E5</f>
        <v>96.9</v>
      </c>
      <c r="G5" s="36" t="s">
        <v>75</v>
      </c>
      <c r="H5" s="37" t="s">
        <v>35</v>
      </c>
      <c r="I5" s="38" t="s">
        <v>76</v>
      </c>
    </row>
    <row r="6" customFormat="false" ht="45.75" hidden="false" customHeight="true" outlineLevel="0" collapsed="false">
      <c r="A6" s="30" t="s">
        <v>77</v>
      </c>
      <c r="B6" s="31" t="s">
        <v>78</v>
      </c>
      <c r="C6" s="32" t="s">
        <v>60</v>
      </c>
      <c r="D6" s="33" t="n">
        <v>1</v>
      </c>
      <c r="E6" s="34" t="n">
        <v>126.99</v>
      </c>
      <c r="F6" s="35" t="n">
        <f aca="false">D6*E6</f>
        <v>126.99</v>
      </c>
      <c r="G6" s="36" t="s">
        <v>79</v>
      </c>
      <c r="H6" s="37" t="s">
        <v>35</v>
      </c>
      <c r="I6" s="38" t="s">
        <v>80</v>
      </c>
    </row>
    <row r="7" customFormat="false" ht="45.75" hidden="false" customHeight="true" outlineLevel="0" collapsed="false">
      <c r="A7" s="12" t="s">
        <v>81</v>
      </c>
      <c r="B7" s="39" t="s">
        <v>82</v>
      </c>
      <c r="C7" s="13" t="s">
        <v>83</v>
      </c>
      <c r="D7" s="14" t="n">
        <v>2</v>
      </c>
      <c r="E7" s="40" t="n">
        <v>15</v>
      </c>
      <c r="F7" s="41" t="n">
        <f aca="false">D7*E7</f>
        <v>30</v>
      </c>
      <c r="G7" s="42" t="s">
        <v>84</v>
      </c>
      <c r="H7" s="18" t="s">
        <v>35</v>
      </c>
      <c r="I7" s="19" t="s">
        <v>85</v>
      </c>
    </row>
    <row r="8" customFormat="false" ht="45.75" hidden="false" customHeight="true" outlineLevel="0" collapsed="false">
      <c r="A8" s="20" t="s">
        <v>86</v>
      </c>
      <c r="B8" s="43" t="s">
        <v>82</v>
      </c>
      <c r="C8" s="21" t="s">
        <v>60</v>
      </c>
      <c r="D8" s="22" t="n">
        <v>380</v>
      </c>
      <c r="E8" s="44" t="n">
        <v>0.4</v>
      </c>
      <c r="F8" s="45" t="n">
        <f aca="false">D8*E8</f>
        <v>152</v>
      </c>
      <c r="G8" s="46" t="s">
        <v>87</v>
      </c>
      <c r="H8" s="26" t="s">
        <v>35</v>
      </c>
      <c r="I8" s="27" t="s">
        <v>88</v>
      </c>
    </row>
    <row r="9" customFormat="false" ht="45.75" hidden="false" customHeight="true" outlineLevel="0" collapsed="false">
      <c r="A9" s="12" t="s">
        <v>89</v>
      </c>
      <c r="B9" s="39" t="s">
        <v>82</v>
      </c>
      <c r="C9" s="13" t="s">
        <v>60</v>
      </c>
      <c r="D9" s="14" t="n">
        <v>150</v>
      </c>
      <c r="E9" s="40" t="n">
        <v>0.2</v>
      </c>
      <c r="F9" s="41" t="n">
        <f aca="false">D9*E9</f>
        <v>30</v>
      </c>
      <c r="G9" s="42" t="s">
        <v>87</v>
      </c>
      <c r="H9" s="18" t="s">
        <v>35</v>
      </c>
      <c r="I9" s="19" t="s">
        <v>90</v>
      </c>
    </row>
    <row r="10" customFormat="false" ht="45.75" hidden="false" customHeight="true" outlineLevel="0" collapsed="false">
      <c r="A10" s="20" t="s">
        <v>91</v>
      </c>
      <c r="B10" s="43" t="s">
        <v>82</v>
      </c>
      <c r="C10" s="21" t="s">
        <v>60</v>
      </c>
      <c r="D10" s="22" t="n">
        <v>110</v>
      </c>
      <c r="E10" s="44" t="n">
        <v>0.2</v>
      </c>
      <c r="F10" s="45" t="n">
        <f aca="false">D10*E10</f>
        <v>22</v>
      </c>
      <c r="G10" s="46" t="s">
        <v>87</v>
      </c>
      <c r="H10" s="26" t="s">
        <v>35</v>
      </c>
      <c r="I10" s="27" t="s">
        <v>92</v>
      </c>
    </row>
    <row r="11" customFormat="false" ht="45.75" hidden="false" customHeight="true" outlineLevel="0" collapsed="false">
      <c r="A11" s="12" t="s">
        <v>93</v>
      </c>
      <c r="B11" s="39" t="s">
        <v>82</v>
      </c>
      <c r="C11" s="13" t="s">
        <v>60</v>
      </c>
      <c r="D11" s="14" t="n">
        <v>24</v>
      </c>
      <c r="E11" s="40" t="n">
        <v>1.6</v>
      </c>
      <c r="F11" s="41" t="n">
        <f aca="false">D11*E11</f>
        <v>38.4</v>
      </c>
      <c r="G11" s="42" t="s">
        <v>87</v>
      </c>
      <c r="H11" s="18" t="s">
        <v>35</v>
      </c>
      <c r="I11" s="19" t="s">
        <v>94</v>
      </c>
    </row>
    <row r="12" customFormat="false" ht="45.75" hidden="false" customHeight="true" outlineLevel="0" collapsed="false">
      <c r="A12" s="20" t="s">
        <v>95</v>
      </c>
      <c r="B12" s="43" t="s">
        <v>82</v>
      </c>
      <c r="C12" s="21" t="s">
        <v>60</v>
      </c>
      <c r="D12" s="22" t="n">
        <v>16</v>
      </c>
      <c r="E12" s="44" t="n">
        <v>2</v>
      </c>
      <c r="F12" s="45" t="n">
        <f aca="false">D12*E12</f>
        <v>32</v>
      </c>
      <c r="G12" s="46" t="s">
        <v>87</v>
      </c>
      <c r="H12" s="26" t="s">
        <v>35</v>
      </c>
      <c r="I12" s="27" t="s">
        <v>96</v>
      </c>
    </row>
    <row r="13" customFormat="false" ht="45.75" hidden="false" customHeight="true" outlineLevel="0" collapsed="false">
      <c r="A13" s="12" t="s">
        <v>97</v>
      </c>
      <c r="B13" s="39" t="s">
        <v>82</v>
      </c>
      <c r="C13" s="13" t="s">
        <v>60</v>
      </c>
      <c r="D13" s="14" t="n">
        <v>60</v>
      </c>
      <c r="E13" s="40" t="n">
        <v>0.43</v>
      </c>
      <c r="F13" s="41" t="n">
        <f aca="false">D13*E13</f>
        <v>25.8</v>
      </c>
      <c r="G13" s="42" t="s">
        <v>87</v>
      </c>
      <c r="H13" s="18" t="s">
        <v>35</v>
      </c>
      <c r="I13" s="19" t="s">
        <v>98</v>
      </c>
    </row>
    <row r="14" customFormat="false" ht="15" hidden="false" customHeight="false" outlineLevel="0" collapsed="false">
      <c r="A14" s="47" t="s">
        <v>99</v>
      </c>
      <c r="B14" s="48"/>
      <c r="C14" s="48"/>
      <c r="D14" s="48"/>
      <c r="E14" s="48"/>
      <c r="F14" s="49" t="n">
        <f aca="false">SUM(F5:F13)</f>
        <v>554.09</v>
      </c>
      <c r="G14" s="48"/>
      <c r="H14" s="48"/>
      <c r="I14" s="48"/>
    </row>
  </sheetData>
  <mergeCells count="2">
    <mergeCell ref="A1:I1"/>
    <mergeCell ref="A2:I2"/>
  </mergeCells>
  <hyperlinks>
    <hyperlink ref="H5" r:id="rId1" display="deschide"/>
    <hyperlink ref="H6" r:id="rId2" display="deschide"/>
    <hyperlink ref="H7" r:id="rId3" display="deschide"/>
    <hyperlink ref="H8" r:id="rId4" display="deschide"/>
    <hyperlink ref="H9" r:id="rId5" display="deschide"/>
    <hyperlink ref="H10" r:id="rId6" display="deschide"/>
    <hyperlink ref="H11" r:id="rId7" display="deschide"/>
    <hyperlink ref="H12" r:id="rId8" display="deschide"/>
    <hyperlink ref="H13" r:id="rId9" display="deschi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05"/>
  </cols>
  <sheetData>
    <row r="1" customFormat="false" ht="18.55" hidden="false" customHeight="false" outlineLevel="0" collapsed="false">
      <c r="A1" s="1" t="s">
        <v>100</v>
      </c>
      <c r="B1" s="1"/>
      <c r="C1" s="1"/>
      <c r="D1" s="1"/>
    </row>
    <row r="2" customFormat="false" ht="27.75" hidden="false" customHeight="true" outlineLevel="0" collapsed="false">
      <c r="A2" s="2" t="s">
        <v>101</v>
      </c>
      <c r="B2" s="2"/>
      <c r="C2" s="2"/>
      <c r="D2" s="2"/>
    </row>
    <row r="4" customFormat="false" ht="30" hidden="false" customHeight="true" outlineLevel="0" collapsed="false">
      <c r="A4" s="3" t="s">
        <v>102</v>
      </c>
      <c r="B4" s="3" t="s">
        <v>103</v>
      </c>
      <c r="C4" s="3" t="s">
        <v>104</v>
      </c>
      <c r="D4" s="3" t="s">
        <v>105</v>
      </c>
    </row>
    <row r="5" customFormat="false" ht="31.5" hidden="false" customHeight="true" outlineLevel="0" collapsed="false">
      <c r="A5" s="50" t="s">
        <v>106</v>
      </c>
      <c r="B5" s="12" t="s">
        <v>107</v>
      </c>
      <c r="C5" s="14" t="s">
        <v>108</v>
      </c>
      <c r="D5" s="19" t="s">
        <v>109</v>
      </c>
    </row>
    <row r="6" customFormat="false" ht="31.5" hidden="false" customHeight="true" outlineLevel="0" collapsed="false">
      <c r="A6" s="51"/>
      <c r="B6" s="20" t="s">
        <v>110</v>
      </c>
      <c r="C6" s="22" t="s">
        <v>111</v>
      </c>
      <c r="D6" s="27" t="s">
        <v>112</v>
      </c>
    </row>
    <row r="7" customFormat="false" ht="31.5" hidden="false" customHeight="true" outlineLevel="0" collapsed="false">
      <c r="A7" s="50"/>
      <c r="B7" s="12" t="s">
        <v>113</v>
      </c>
      <c r="C7" s="14" t="s">
        <v>114</v>
      </c>
      <c r="D7" s="19" t="s">
        <v>115</v>
      </c>
    </row>
    <row r="8" customFormat="false" ht="31.5" hidden="false" customHeight="true" outlineLevel="0" collapsed="false">
      <c r="A8" s="51"/>
      <c r="B8" s="20" t="s">
        <v>116</v>
      </c>
      <c r="C8" s="22" t="s">
        <v>117</v>
      </c>
      <c r="D8" s="27" t="s">
        <v>118</v>
      </c>
    </row>
    <row r="9" customFormat="false" ht="31.5" hidden="false" customHeight="true" outlineLevel="0" collapsed="false">
      <c r="A9" s="50" t="s">
        <v>119</v>
      </c>
      <c r="B9" s="12" t="s">
        <v>120</v>
      </c>
      <c r="C9" s="14" t="s">
        <v>121</v>
      </c>
      <c r="D9" s="19" t="s">
        <v>122</v>
      </c>
    </row>
    <row r="10" customFormat="false" ht="31.5" hidden="false" customHeight="true" outlineLevel="0" collapsed="false">
      <c r="A10" s="51"/>
      <c r="B10" s="20" t="s">
        <v>123</v>
      </c>
      <c r="C10" s="22" t="s">
        <v>121</v>
      </c>
      <c r="D10" s="27" t="s">
        <v>124</v>
      </c>
    </row>
    <row r="11" customFormat="false" ht="31.5" hidden="false" customHeight="true" outlineLevel="0" collapsed="false">
      <c r="A11" s="50"/>
      <c r="B11" s="12" t="s">
        <v>125</v>
      </c>
      <c r="C11" s="14" t="s">
        <v>82</v>
      </c>
      <c r="D11" s="19" t="s">
        <v>126</v>
      </c>
    </row>
    <row r="12" customFormat="false" ht="31.5" hidden="false" customHeight="true" outlineLevel="0" collapsed="false">
      <c r="A12" s="51" t="s">
        <v>127</v>
      </c>
      <c r="B12" s="20" t="s">
        <v>128</v>
      </c>
      <c r="C12" s="22" t="s">
        <v>129</v>
      </c>
      <c r="D12" s="27" t="s">
        <v>130</v>
      </c>
    </row>
    <row r="13" customFormat="false" ht="31.5" hidden="false" customHeight="true" outlineLevel="0" collapsed="false">
      <c r="A13" s="50"/>
      <c r="B13" s="12" t="s">
        <v>131</v>
      </c>
      <c r="C13" s="14" t="s">
        <v>132</v>
      </c>
      <c r="D13" s="19" t="s">
        <v>133</v>
      </c>
    </row>
    <row r="14" customFormat="false" ht="31.5" hidden="false" customHeight="true" outlineLevel="0" collapsed="false">
      <c r="A14" s="51"/>
      <c r="B14" s="20" t="s">
        <v>134</v>
      </c>
      <c r="C14" s="22" t="s">
        <v>135</v>
      </c>
      <c r="D14" s="27" t="s">
        <v>136</v>
      </c>
    </row>
    <row r="15" customFormat="false" ht="31.5" hidden="false" customHeight="true" outlineLevel="0" collapsed="false">
      <c r="A15" s="50"/>
      <c r="B15" s="12" t="s">
        <v>137</v>
      </c>
      <c r="C15" s="14" t="s">
        <v>138</v>
      </c>
      <c r="D15" s="19" t="s">
        <v>139</v>
      </c>
    </row>
    <row r="16" customFormat="false" ht="31.5" hidden="false" customHeight="true" outlineLevel="0" collapsed="false">
      <c r="A16" s="51" t="s">
        <v>140</v>
      </c>
      <c r="B16" s="20" t="s">
        <v>141</v>
      </c>
      <c r="C16" s="22" t="s">
        <v>142</v>
      </c>
      <c r="D16" s="27" t="s">
        <v>143</v>
      </c>
    </row>
    <row r="17" customFormat="false" ht="31.5" hidden="false" customHeight="true" outlineLevel="0" collapsed="false">
      <c r="A17" s="50"/>
      <c r="B17" s="12" t="s">
        <v>144</v>
      </c>
      <c r="C17" s="14" t="s">
        <v>142</v>
      </c>
      <c r="D17" s="19" t="s">
        <v>145</v>
      </c>
    </row>
    <row r="18" customFormat="false" ht="31.5" hidden="false" customHeight="true" outlineLevel="0" collapsed="false">
      <c r="A18" s="51"/>
      <c r="B18" s="20" t="s">
        <v>146</v>
      </c>
      <c r="C18" s="22" t="s">
        <v>142</v>
      </c>
      <c r="D18" s="27" t="s">
        <v>147</v>
      </c>
    </row>
    <row r="19" customFormat="false" ht="31.5" hidden="false" customHeight="true" outlineLevel="0" collapsed="false">
      <c r="A19" s="50"/>
      <c r="B19" s="12" t="s">
        <v>148</v>
      </c>
      <c r="C19" s="14" t="s">
        <v>149</v>
      </c>
      <c r="D19" s="19" t="s">
        <v>150</v>
      </c>
    </row>
    <row r="20" customFormat="false" ht="31.5" hidden="false" customHeight="true" outlineLevel="0" collapsed="false">
      <c r="A20" s="51" t="s">
        <v>151</v>
      </c>
      <c r="B20" s="20" t="s">
        <v>152</v>
      </c>
      <c r="C20" s="22" t="s">
        <v>153</v>
      </c>
      <c r="D20" s="27" t="s">
        <v>154</v>
      </c>
    </row>
    <row r="21" customFormat="false" ht="31.5" hidden="false" customHeight="true" outlineLevel="0" collapsed="false">
      <c r="A21" s="50"/>
      <c r="B21" s="12" t="s">
        <v>155</v>
      </c>
      <c r="C21" s="14" t="s">
        <v>153</v>
      </c>
      <c r="D21" s="19" t="s">
        <v>156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2026-08-21T18:18:22Z</dcterms:created>
  <dc:creator>openpyxl</dc:creator>
  <dc:description/>
  <dc:language>en-US</dc:language>
  <cp:lastModifiedBy/>
  <dcterms:modified xsi:type="dcterms:W3CDTF">2026-08-21T18:18:22Z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