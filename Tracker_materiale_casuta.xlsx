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Materiale" sheetId="1" state="visible" r:id="rId1"/>
    <sheet name="Debitare" sheetId="2" state="visible" r:id="rId2"/>
    <sheet name="Platforma premium" sheetId="3" state="visible" r:id="rId3"/>
    <sheet name="Comanda Hornbach" sheetId="4" state="visible" r:id="rId4"/>
    <sheet name="Scule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#,##0&quot; lei&quot;"/>
    <numFmt numFmtId="165" formatCode="#,##0.00&quot; lei&quot;"/>
  </numFmts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C1C1E"/>
      <sz val="16"/>
    </font>
    <font>
      <name val="Arial"/>
      <charset val="1"/>
      <family val="0"/>
      <i val="1"/>
      <color rgb="FF8A857C"/>
      <sz val="9"/>
    </font>
    <font>
      <name val="Arial"/>
      <charset val="1"/>
      <family val="0"/>
      <color rgb="FF1C1C1E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b val="1"/>
      <color rgb="FF1C1C1E"/>
      <sz val="10"/>
    </font>
    <font>
      <name val="Arial"/>
      <charset val="1"/>
      <family val="0"/>
      <b val="1"/>
      <color rgb="FF1C1C1E"/>
      <sz val="11"/>
    </font>
    <font>
      <name val="Arial"/>
      <charset val="1"/>
      <family val="0"/>
      <b val="1"/>
      <color rgb="FF3F6B4E"/>
      <sz val="11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1C1C1E"/>
      <sz val="9"/>
    </font>
    <font>
      <name val="Arial"/>
      <charset val="1"/>
      <family val="0"/>
      <b val="1"/>
      <color rgb="FF1C1C1E"/>
      <sz val="9"/>
    </font>
    <font>
      <name val="Arial"/>
      <charset val="1"/>
      <family val="0"/>
      <b val="1"/>
      <color rgb="FF3F6B4E"/>
      <sz val="9"/>
    </font>
    <font>
      <name val="Arial"/>
      <charset val="1"/>
      <family val="0"/>
      <color rgb="FF0563C1"/>
      <sz val="9"/>
    </font>
    <font>
      <name val="Arial"/>
      <charset val="1"/>
      <family val="0"/>
      <b val="1"/>
      <color rgb="FF8A857C"/>
      <sz val="9"/>
    </font>
    <font>
      <name val="Arial"/>
      <charset val="1"/>
      <family val="0"/>
      <b val="1"/>
      <color rgb="FFB5852A"/>
      <sz val="9"/>
    </font>
    <font>
      <name val="Arial"/>
      <charset val="1"/>
      <family val="0"/>
      <i val="1"/>
      <color rgb="FF8A857C"/>
      <sz val="8"/>
    </font>
    <font>
      <name val="Arial"/>
      <charset val="1"/>
      <family val="0"/>
      <b val="1"/>
      <color rgb="FF1C1C1E"/>
      <sz val="15"/>
    </font>
    <font>
      <name val="Arial"/>
      <charset val="1"/>
      <family val="0"/>
      <b val="1"/>
      <color rgb="FFC2693A"/>
      <sz val="9"/>
    </font>
    <font>
      <name val="Arial"/>
      <charset val="1"/>
      <family val="0"/>
      <b val="1"/>
      <color rgb="FFC2693A"/>
      <sz val="11"/>
    </font>
    <font>
      <name val="Arial"/>
      <charset val="1"/>
      <family val="0"/>
      <b val="1"/>
      <color rgb="FFB5852A"/>
      <sz val="10"/>
    </font>
    <font>
      <name val="Arial"/>
      <charset val="1"/>
      <family val="0"/>
      <b val="1"/>
      <color rgb="FF3F6B4E"/>
      <sz val="10"/>
    </font>
  </fonts>
  <fills count="5">
    <fill>
      <patternFill/>
    </fill>
    <fill>
      <patternFill patternType="gray125"/>
    </fill>
    <fill>
      <patternFill patternType="solid">
        <fgColor rgb="FFFFF6D6"/>
        <bgColor rgb="FFF4F1EC"/>
      </patternFill>
    </fill>
    <fill>
      <patternFill patternType="solid">
        <fgColor rgb="FF2D2A26"/>
        <bgColor rgb="FF1C1C1E"/>
      </patternFill>
    </fill>
    <fill>
      <patternFill patternType="solid">
        <fgColor rgb="FFF4F1EC"/>
        <bgColor rgb="FFFFF6D6"/>
      </patternFill>
    </fill>
  </fills>
  <borders count="6">
    <border>
      <left/>
      <right/>
      <top/>
      <bottom/>
      <diagonal/>
    </border>
    <border>
      <left style="thin">
        <color rgb="FFD9D6CF"/>
      </left>
      <right style="thin">
        <color rgb="FFD9D6CF"/>
      </right>
      <top style="thin">
        <color rgb="FFD9D6CF"/>
      </top>
      <bottom style="thin">
        <color rgb="FFD9D6CF"/>
      </bottom>
      <diagonal/>
    </border>
    <border>
      <left/>
      <right/>
      <top style="thin">
        <color rgb="FFD9D6CF"/>
      </top>
      <bottom style="thin">
        <color rgb="FFD9D6CF"/>
      </bottom>
      <diagonal/>
    </border>
    <border>
      <left/>
      <right style="thin">
        <color rgb="FFD9D6CF"/>
      </right>
      <top style="thin">
        <color rgb="FFD9D6CF"/>
      </top>
      <bottom style="thin">
        <color rgb="FFD9D6CF"/>
      </bottom>
      <diagonal/>
    </border>
    <border>
      <left/>
      <right/>
      <top style="thin">
        <color rgb="FFD9D6CF"/>
      </top>
      <bottom/>
      <diagonal/>
    </border>
    <border>
      <left/>
      <right style="thin">
        <color rgb="FFD9D6CF"/>
      </right>
      <top style="thin">
        <color rgb="FFD9D6CF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bottom"/>
    </xf>
    <xf numFmtId="164" fontId="7" fillId="2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bottom"/>
    </xf>
    <xf numFmtId="164" fontId="9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0" fontId="11" fillId="3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right" vertical="center"/>
    </xf>
    <xf numFmtId="165" fontId="12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14" fillId="0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right" vertical="center"/>
    </xf>
    <xf numFmtId="165" fontId="12" fillId="4" borderId="1" applyAlignment="1" pivotButton="0" quotePrefix="0" xfId="0">
      <alignment horizontal="right" vertical="center"/>
    </xf>
    <xf numFmtId="165" fontId="13" fillId="4" borderId="1" applyAlignment="1" pivotButton="0" quotePrefix="0" xfId="0">
      <alignment horizontal="right" vertical="center"/>
    </xf>
    <xf numFmtId="0" fontId="14" fillId="4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/>
    </xf>
    <xf numFmtId="0" fontId="17" fillId="4" borderId="1" applyAlignment="1" pivotButton="0" quotePrefix="0" xfId="0">
      <alignment horizontal="left" vertical="center"/>
    </xf>
    <xf numFmtId="0" fontId="17" fillId="0" borderId="1" applyAlignment="1" pivotButton="0" quotePrefix="0" xfId="0">
      <alignment horizontal="left" vertical="center"/>
    </xf>
    <xf numFmtId="0" fontId="16" fillId="4" borderId="1" applyAlignment="1" pivotButton="0" quotePrefix="0" xfId="0">
      <alignment horizontal="left" vertical="center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4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4" fontId="12" fillId="0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general" vertical="bottom"/>
    </xf>
    <xf numFmtId="164" fontId="21" fillId="0" borderId="0" applyAlignment="1" pivotButton="0" quotePrefix="0" xfId="0">
      <alignment horizontal="general" vertical="bottom"/>
    </xf>
    <xf numFmtId="164" fontId="22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bottom"/>
    </xf>
    <xf numFmtId="164" fontId="7" fillId="2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bottom"/>
    </xf>
    <xf numFmtId="164" fontId="9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0" fontId="11" fillId="3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right" vertical="center"/>
    </xf>
    <xf numFmtId="165" fontId="12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14" fillId="0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right" vertical="center"/>
    </xf>
    <xf numFmtId="165" fontId="12" fillId="4" borderId="1" applyAlignment="1" pivotButton="0" quotePrefix="0" xfId="0">
      <alignment horizontal="right" vertical="center"/>
    </xf>
    <xf numFmtId="165" fontId="13" fillId="4" borderId="1" applyAlignment="1" pivotButton="0" quotePrefix="0" xfId="0">
      <alignment horizontal="right" vertical="center"/>
    </xf>
    <xf numFmtId="0" fontId="14" fillId="4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/>
    </xf>
    <xf numFmtId="0" fontId="17" fillId="4" borderId="1" applyAlignment="1" pivotButton="0" quotePrefix="0" xfId="0">
      <alignment horizontal="left" vertical="center"/>
    </xf>
    <xf numFmtId="0" fontId="17" fillId="0" borderId="1" applyAlignment="1" pivotButton="0" quotePrefix="0" xfId="0">
      <alignment horizontal="left" vertical="center"/>
    </xf>
    <xf numFmtId="0" fontId="16" fillId="4" borderId="1" applyAlignment="1" pivotButton="0" quotePrefix="0" xfId="0">
      <alignment horizontal="left" vertical="center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4" borderId="1" applyAlignment="1" pivotButton="0" quotePrefix="0" xfId="0">
      <alignment horizontal="general" vertical="bottom"/>
    </xf>
    <xf numFmtId="0" fontId="0" fillId="0" borderId="2" pivotButton="0" quotePrefix="0" xfId="0"/>
    <xf numFmtId="0" fontId="0" fillId="0" borderId="3" pivotButton="0" quotePrefix="0" xfId="0"/>
    <xf numFmtId="0" fontId="12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4" fontId="12" fillId="0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general" vertical="bottom"/>
    </xf>
    <xf numFmtId="164" fontId="21" fillId="0" borderId="0" applyAlignment="1" pivotButton="0" quotePrefix="0" xfId="0">
      <alignment horizontal="general" vertical="bottom"/>
    </xf>
    <xf numFmtId="164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5852A"/>
      <rgbColor rgb="FF800080"/>
      <rgbColor rgb="FF008080"/>
      <rgbColor rgb="FFC0C0C0"/>
      <rgbColor rgb="FF8A857C"/>
      <rgbColor rgb="FF9999FF"/>
      <rgbColor rgb="FF993366"/>
      <rgbColor rgb="FFFFF6D6"/>
      <rgbColor rgb="FFF4F1EC"/>
      <rgbColor rgb="FF660066"/>
      <rgbColor rgb="FFFF8080"/>
      <rgbColor rgb="FF0563C1"/>
      <rgbColor rgb="FFD9D6C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2693A"/>
      <rgbColor rgb="FF3F6B4E"/>
      <rgbColor rgb="FF969696"/>
      <rgbColor rgb="FF003366"/>
      <rgbColor rgb="FF339966"/>
      <rgbColor rgb="FF003300"/>
      <rgbColor rgb="FF1C1C1E"/>
      <rgbColor rgb="FF993300"/>
      <rgbColor rgb="FF993366"/>
      <rgbColor rgb="FF333399"/>
      <rgbColor rgb="FF2D2A26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hornbach.ro/p/lemn-constructii-kvh-4000x100x100-mm/7337253/" TargetMode="External" Id="rId1" /><Relationship Type="http://schemas.openxmlformats.org/officeDocument/2006/relationships/hyperlink" Target="https://www.leroymerlin.ro/produse/grinda-nerindeluita-lemn-rasinoase-100-x-100-x-4000-mm-11877411.html" TargetMode="External" Id="rId2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3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6" customWidth="1" style="47" min="1" max="1"/>
    <col width="34" customWidth="1" style="47" min="2" max="2"/>
    <col width="20" customWidth="1" style="47" min="3" max="3"/>
    <col width="13" customWidth="1" style="47" min="4" max="4"/>
    <col width="12" customWidth="1" style="47" min="5" max="5"/>
    <col width="7" customWidth="1" style="47" min="6" max="6"/>
    <col width="6" customWidth="1" style="47" min="7" max="7"/>
    <col width="12" customWidth="1" style="47" min="8" max="9"/>
    <col width="14" customWidth="1" style="47" min="10" max="10"/>
    <col width="30" customWidth="1" style="47" min="11" max="12"/>
  </cols>
  <sheetData>
    <row r="1" ht="30" customHeight="1" s="48">
      <c r="A1" s="49" t="inlineStr">
        <is>
          <t>CASUTA DIN COPAC  ·  Tracker materiale</t>
        </is>
      </c>
    </row>
    <row r="2" ht="15.75" customHeight="1" s="48">
      <c r="A2" s="50" t="inlineStr">
        <is>
          <t>Proiect cu Tudor (11 ani) · casuta pe 4 stalpi + balcon · buget = TOT proiectul (Faza 1 platforma ~5000 + Faza 2 pereti/acoperis/balustrada/scara). Doar platforma Faza 1: vezi foaia "Platforma premium" / "Comanda Hornbach". Ajusteaza C3 la plafonul tau real.</t>
        </is>
      </c>
    </row>
    <row r="3" ht="15" customHeight="1" s="48">
      <c r="A3" s="51" t="inlineStr">
        <is>
          <t>Buget (lei)</t>
        </is>
      </c>
      <c r="C3" s="52" t="n">
        <v>6600</v>
      </c>
    </row>
    <row r="4" ht="15" customHeight="1" s="48">
      <c r="A4" s="51" t="inlineStr">
        <is>
          <t>Cheltuit — cumparat (incl. comanda Faza 1 din 09.06.2026)</t>
        </is>
      </c>
      <c r="C4" s="53">
        <f>SUMIF($J$11:$J$60,"Cumparat",$I$11:$I$60)</f>
        <v/>
      </c>
    </row>
    <row r="5" ht="15" customHeight="1" s="48">
      <c r="A5" s="51" t="inlineStr">
        <is>
          <t>De cumparat (estimat)</t>
        </is>
      </c>
      <c r="C5" s="53">
        <f>SUMIF($J$11:$J$60,"De cumparat",$I$11:$I$60)</f>
        <v/>
      </c>
    </row>
    <row r="6" ht="15" customHeight="1" s="48">
      <c r="A6" s="51" t="inlineStr">
        <is>
          <t>De decis (estimat)</t>
        </is>
      </c>
      <c r="C6" s="53">
        <f>SUMIF($J$11:$J$60,"De decis",$I$11:$I$60)</f>
        <v/>
      </c>
    </row>
    <row r="7" ht="15" customHeight="1" s="48">
      <c r="A7" s="54" t="inlineStr">
        <is>
          <t>Total estimat</t>
        </is>
      </c>
      <c r="C7" s="55">
        <f>SUM($I$11:$I$60)</f>
        <v/>
      </c>
    </row>
    <row r="8" ht="15" customHeight="1" s="48">
      <c r="A8" s="54" t="inlineStr">
        <is>
          <t>Ramas din buget</t>
        </is>
      </c>
      <c r="C8" s="56">
        <f>C3-C7</f>
        <v/>
      </c>
    </row>
    <row r="10" ht="25.5" customHeight="1" s="48">
      <c r="A10" s="57" t="inlineStr">
        <is>
          <t>Categorie</t>
        </is>
      </c>
      <c r="B10" s="57" t="inlineStr">
        <is>
          <t>Produs / material</t>
        </is>
      </c>
      <c r="C10" s="57" t="inlineStr">
        <is>
          <t>Specificatie</t>
        </is>
      </c>
      <c r="D10" s="57" t="inlineStr">
        <is>
          <t>Magazin</t>
        </is>
      </c>
      <c r="E10" s="57" t="inlineStr">
        <is>
          <t>Cod produs</t>
        </is>
      </c>
      <c r="F10" s="57" t="inlineStr">
        <is>
          <t>Cant.</t>
        </is>
      </c>
      <c r="G10" s="57" t="inlineStr">
        <is>
          <t>UM</t>
        </is>
      </c>
      <c r="H10" s="57" t="inlineStr">
        <is>
          <t>Pret unitar</t>
        </is>
      </c>
      <c r="I10" s="57" t="inlineStr">
        <is>
          <t>Total</t>
        </is>
      </c>
      <c r="J10" s="57" t="inlineStr">
        <is>
          <t>Status</t>
        </is>
      </c>
      <c r="K10" s="57" t="inlineStr">
        <is>
          <t>Link</t>
        </is>
      </c>
      <c r="L10" s="57" t="inlineStr">
        <is>
          <t>Note</t>
        </is>
      </c>
    </row>
    <row r="11" ht="15" customHeight="1" s="48">
      <c r="A11" s="94" t="inlineStr">
        <is>
          <t>Structura</t>
        </is>
      </c>
      <c r="B11" s="95" t="inlineStr">
        <is>
          <t>Stalpi KVH (portanti)</t>
        </is>
      </c>
      <c r="C11" s="94" t="inlineStr">
        <is>
          <t>4000x100x100 mm</t>
        </is>
      </c>
      <c r="D11" s="94" t="inlineStr">
        <is>
          <t>Hornbach</t>
        </is>
      </c>
      <c r="E11" s="94" t="inlineStr">
        <is>
          <t>7337253</t>
        </is>
      </c>
      <c r="F11" s="60" t="n">
        <v>4</v>
      </c>
      <c r="G11" s="94" t="inlineStr">
        <is>
          <t>buc</t>
        </is>
      </c>
      <c r="H11" s="61" t="n">
        <v>149</v>
      </c>
      <c r="I11" s="62">
        <f>IF(AND(F11&lt;&gt;"",H11&lt;&gt;""),F11*H11,"")</f>
        <v/>
      </c>
      <c r="J11" s="96" t="inlineStr">
        <is>
          <t>Cumparat</t>
        </is>
      </c>
      <c r="K11" s="64" t="inlineStr">
        <is>
          <t>Hornbach</t>
        </is>
      </c>
      <c r="L11" s="95" t="inlineStr">
        <is>
          <t>Cei 4 stalpi principali ai casutei</t>
        </is>
      </c>
    </row>
    <row r="12" ht="32.25" customHeight="1" s="48">
      <c r="A12" s="65" t="inlineStr">
        <is>
          <t>Cadru</t>
        </is>
      </c>
      <c r="B12" s="66" t="inlineStr">
        <is>
          <t>Stalpi grinda nerindeluita</t>
        </is>
      </c>
      <c r="C12" s="65" t="inlineStr">
        <is>
          <t>100x100x4000 mm</t>
        </is>
      </c>
      <c r="D12" s="65" t="inlineStr">
        <is>
          <t>Leroy Merlin</t>
        </is>
      </c>
      <c r="E12" s="65" t="inlineStr">
        <is>
          <t>11877411</t>
        </is>
      </c>
      <c r="F12" s="67" t="n">
        <v>4</v>
      </c>
      <c r="G12" s="65" t="inlineStr">
        <is>
          <t>buc</t>
        </is>
      </c>
      <c r="H12" s="68" t="n">
        <v>86.98999999999999</v>
      </c>
      <c r="I12" s="69">
        <f>IF(AND(F12&lt;&gt;"",H12&lt;&gt;""),F12*H12,"")</f>
        <v/>
      </c>
      <c r="J12" s="70" t="inlineStr">
        <is>
          <t>Cumparat</t>
        </is>
      </c>
      <c r="K12" s="71" t="inlineStr">
        <is>
          <t>Leroy Merlin</t>
        </is>
      </c>
      <c r="L12" s="66" t="inlineStr">
        <is>
          <t>4 din cele 6 joiste podea (fata-spate, consola 700)</t>
        </is>
      </c>
    </row>
    <row r="13" ht="21.75" customHeight="1" s="48">
      <c r="A13" s="94" t="inlineStr">
        <is>
          <t>Structura</t>
        </is>
      </c>
      <c r="B13" s="95" t="inlineStr">
        <is>
          <t>Papuc reazem U stalpi (in beton)</t>
        </is>
      </c>
      <c r="C13" s="94" t="inlineStr">
        <is>
          <t>101x100, otel 4 mm</t>
        </is>
      </c>
      <c r="D13" s="94" t="inlineStr">
        <is>
          <t>Leroy Merlin</t>
        </is>
      </c>
      <c r="E13" s="94" t="n"/>
      <c r="F13" s="60" t="n">
        <v>4</v>
      </c>
      <c r="G13" s="94" t="inlineStr">
        <is>
          <t>buc</t>
        </is>
      </c>
      <c r="H13" s="61" t="n">
        <v>19.69</v>
      </c>
      <c r="I13" s="62">
        <f>IF(AND(F13&lt;&gt;"",H13&lt;&gt;""),F13*H13,"")</f>
        <v/>
      </c>
      <c r="J13" s="72" t="inlineStr">
        <is>
          <t>Cumparat</t>
        </is>
      </c>
      <c r="K13" s="95" t="n"/>
      <c r="L13" s="95" t="inlineStr">
        <is>
          <t>Deja in beton — il avem; stalpul intra in U</t>
        </is>
      </c>
    </row>
    <row r="14" ht="21.75" customHeight="1" s="48">
      <c r="A14" s="65" t="inlineStr">
        <is>
          <t>Cadru</t>
        </is>
      </c>
      <c r="B14" s="66" t="inlineStr">
        <is>
          <t>Grinzi principale (glulam)</t>
        </is>
      </c>
      <c r="C14" s="65" t="inlineStr">
        <is>
          <t>Glulam 90x200x4000</t>
        </is>
      </c>
      <c r="D14" s="65" t="inlineStr">
        <is>
          <t>Hornbach</t>
        </is>
      </c>
      <c r="E14" s="65" t="inlineStr">
        <is>
          <t>5483835</t>
        </is>
      </c>
      <c r="F14" s="67" t="n">
        <v>2</v>
      </c>
      <c r="G14" s="65" t="inlineStr">
        <is>
          <t>buc</t>
        </is>
      </c>
      <c r="H14" s="68" t="n">
        <v>479</v>
      </c>
      <c r="I14" s="69">
        <f>IF(AND(F14&lt;&gt;"",H14&lt;&gt;""),F14*H14,"")</f>
        <v/>
      </c>
      <c r="J14" s="73" t="inlineStr">
        <is>
          <t>Cumparat</t>
        </is>
      </c>
      <c r="K14" s="66" t="n"/>
      <c r="L14" s="66" t="inlineStr">
        <is>
          <t>2 grinzi; fata pe varful stalpului, spate pe polita + 2x M12 · comanda 09.06.2026</t>
        </is>
      </c>
    </row>
    <row r="15" ht="15" customHeight="1" s="48">
      <c r="A15" s="94" t="inlineStr">
        <is>
          <t>Cadru</t>
        </is>
      </c>
      <c r="B15" s="95" t="inlineStr">
        <is>
          <t>Joiste podea (completare)</t>
        </is>
      </c>
      <c r="C15" s="94" t="inlineStr">
        <is>
          <t>KVH 100x100x4000</t>
        </is>
      </c>
      <c r="D15" s="94" t="inlineStr">
        <is>
          <t>Hornbach</t>
        </is>
      </c>
      <c r="E15" s="94" t="inlineStr">
        <is>
          <t>7337253</t>
        </is>
      </c>
      <c r="F15" s="60" t="n">
        <v>2</v>
      </c>
      <c r="G15" s="94" t="inlineStr">
        <is>
          <t>buc</t>
        </is>
      </c>
      <c r="H15" s="61" t="n">
        <v>149</v>
      </c>
      <c r="I15" s="62">
        <f>IF(AND(F15&lt;&gt;"",H15&lt;&gt;""),F15*H15,"")</f>
        <v/>
      </c>
      <c r="J15" s="74" t="inlineStr">
        <is>
          <t>Cumparat</t>
        </is>
      </c>
      <c r="K15" s="95" t="n"/>
      <c r="L15" s="95" t="inlineStr">
        <is>
          <t>Inca 2 (la cele 4 Leroy) = 6 joiste, fata-spate · comanda 09.06.2026</t>
        </is>
      </c>
    </row>
    <row r="16" ht="15" customHeight="1" s="48">
      <c r="A16" s="65" t="inlineStr">
        <is>
          <t>Podea</t>
        </is>
      </c>
      <c r="B16" s="66" t="inlineStr">
        <is>
          <t>Dusumea larice</t>
        </is>
      </c>
      <c r="C16" s="65" t="inlineStr">
        <is>
          <t>Konsta 28x145x3000</t>
        </is>
      </c>
      <c r="D16" s="65" t="inlineStr">
        <is>
          <t>Hornbach</t>
        </is>
      </c>
      <c r="E16" s="65" t="inlineStr">
        <is>
          <t>6224073</t>
        </is>
      </c>
      <c r="F16" s="67" t="n">
        <v>17</v>
      </c>
      <c r="G16" s="65" t="inlineStr">
        <is>
          <t>buc</t>
        </is>
      </c>
      <c r="H16" s="68" t="n">
        <v>79.90000000000001</v>
      </c>
      <c r="I16" s="69">
        <f>IF(AND(F16&lt;&gt;"",H16&lt;&gt;""),F16*H16,"")</f>
        <v/>
      </c>
      <c r="J16" s="73" t="inlineStr">
        <is>
          <t>Cumparat</t>
        </is>
      </c>
      <c r="K16" s="66" t="n"/>
      <c r="L16" s="66" t="inlineStr">
        <is>
          <t>Podea casuta + balcon · comanda 09.06.2026</t>
        </is>
      </c>
    </row>
    <row r="17" ht="21.75" customHeight="1" s="48">
      <c r="A17" s="94" t="inlineStr">
        <is>
          <t>Cadru</t>
        </is>
      </c>
      <c r="B17" s="95" t="inlineStr">
        <is>
          <t>Polita + blocaje + rama gaura copac</t>
        </is>
      </c>
      <c r="C17" s="94" t="inlineStr">
        <is>
          <t>din offcut 100x100</t>
        </is>
      </c>
      <c r="D17" s="94" t="inlineStr">
        <is>
          <t>-</t>
        </is>
      </c>
      <c r="E17" s="94" t="n"/>
      <c r="F17" s="60" t="n">
        <v>1</v>
      </c>
      <c r="G17" s="94" t="inlineStr">
        <is>
          <t>lot</t>
        </is>
      </c>
      <c r="H17" s="61" t="n">
        <v>0</v>
      </c>
      <c r="I17" s="62">
        <f>IF(AND(F17&lt;&gt;"",H17&lt;&gt;""),F17*H17,"")</f>
        <v/>
      </c>
      <c r="J17" s="74" t="inlineStr">
        <is>
          <t>Din offcut</t>
        </is>
      </c>
      <c r="K17" s="95" t="n"/>
      <c r="L17" s="95" t="inlineStr">
        <is>
          <t>Sub grinda spate + blocaje + incadrare gaura. Gratis din offcut.</t>
        </is>
      </c>
    </row>
    <row r="18" ht="15" customHeight="1" s="48">
      <c r="A18" s="65" t="inlineStr">
        <is>
          <t>Balustrada</t>
        </is>
      </c>
      <c r="B18" s="66" t="inlineStr">
        <is>
          <t>Stalpisori balustrada</t>
        </is>
      </c>
      <c r="C18" s="65" t="inlineStr">
        <is>
          <t>58x58, h=100cm</t>
        </is>
      </c>
      <c r="D18" s="65" t="inlineStr">
        <is>
          <t>Hornbach</t>
        </is>
      </c>
      <c r="E18" s="65" t="n"/>
      <c r="F18" s="67" t="n">
        <v>7</v>
      </c>
      <c r="G18" s="65" t="inlineStr">
        <is>
          <t>buc</t>
        </is>
      </c>
      <c r="H18" s="68" t="n">
        <v>60.91</v>
      </c>
      <c r="I18" s="69">
        <f>IF(AND(F18&lt;&gt;"",H18&lt;&gt;""),F18*H18,"")</f>
        <v/>
      </c>
      <c r="J18" s="73" t="inlineStr">
        <is>
          <t>De cumparat</t>
        </is>
      </c>
      <c r="K18" s="66" t="n"/>
      <c r="L18" s="66" t="inlineStr">
        <is>
          <t>Balustrada balcon, 3 laturi, inclusiv nasul consolei</t>
        </is>
      </c>
    </row>
    <row r="19" ht="15" customHeight="1" s="48">
      <c r="A19" s="94" t="inlineStr">
        <is>
          <t>Balustrada</t>
        </is>
      </c>
      <c r="B19" s="95" t="inlineStr">
        <is>
          <t>Sipci umplutura</t>
        </is>
      </c>
      <c r="C19" s="94" t="inlineStr">
        <is>
          <t>18x18 / sipca</t>
        </is>
      </c>
      <c r="D19" s="94" t="inlineStr">
        <is>
          <t>Hornbach</t>
        </is>
      </c>
      <c r="E19" s="94" t="n"/>
      <c r="F19" s="60" t="n">
        <v>24</v>
      </c>
      <c r="G19" s="94" t="inlineStr">
        <is>
          <t>buc</t>
        </is>
      </c>
      <c r="H19" s="61" t="n">
        <v>3.3</v>
      </c>
      <c r="I19" s="62">
        <f>IF(AND(F19&lt;&gt;"",H19&lt;&gt;""),F19*H19,"")</f>
        <v/>
      </c>
      <c r="J19" s="74" t="inlineStr">
        <is>
          <t>De cumparat</t>
        </is>
      </c>
      <c r="K19" s="95" t="n"/>
      <c r="L19" s="95" t="inlineStr">
        <is>
          <t>Goluri &lt;9 cm (siguranta copil)</t>
        </is>
      </c>
    </row>
    <row r="20" ht="15" customHeight="1" s="48">
      <c r="A20" s="47" t="inlineStr">
        <is>
          <t>Balustrada</t>
        </is>
      </c>
      <c r="B20" s="47" t="inlineStr">
        <is>
          <t>Buloane M10 (balustrada)</t>
        </is>
      </c>
      <c r="C20" s="47" t="inlineStr">
        <is>
          <t>M10×120 + piulita + saiba</t>
        </is>
      </c>
      <c r="D20" s="47" t="inlineStr">
        <is>
          <t>Hornbach</t>
        </is>
      </c>
      <c r="E20" s="47" t="inlineStr">
        <is>
          <t>-</t>
        </is>
      </c>
      <c r="F20" s="47" t="n">
        <v>12</v>
      </c>
      <c r="G20" s="47" t="inlineStr">
        <is>
          <t>buc</t>
        </is>
      </c>
      <c r="H20" s="47" t="n">
        <v>3.5</v>
      </c>
      <c r="I20" s="47">
        <f>IF(AND(F20&lt;&gt;"",H20&lt;&gt;""),F20*H20,"")</f>
        <v/>
      </c>
      <c r="J20" s="47" t="inlineStr">
        <is>
          <t>De cumparat</t>
        </is>
      </c>
      <c r="K20" s="47" t="inlineStr"/>
      <c r="L20" s="47" t="inlineStr">
        <is>
          <t>Faza 1; prinde stalpisorii 58x58 de cadru</t>
        </is>
      </c>
    </row>
    <row r="21" ht="15" customHeight="1" s="48">
      <c r="A21" s="65" t="inlineStr">
        <is>
          <t>Pereti</t>
        </is>
      </c>
      <c r="B21" s="66" t="inlineStr">
        <is>
          <t>Scanduri pereti partiali</t>
        </is>
      </c>
      <c r="C21" s="65" t="inlineStr">
        <is>
          <t>28x90 mm</t>
        </is>
      </c>
      <c r="D21" s="65" t="n"/>
      <c r="E21" s="65" t="n"/>
      <c r="F21" s="67" t="n">
        <v>16</v>
      </c>
      <c r="G21" s="65" t="inlineStr">
        <is>
          <t>buc</t>
        </is>
      </c>
      <c r="H21" s="68" t="n">
        <v>38</v>
      </c>
      <c r="I21" s="69">
        <f>IF(AND(F21&lt;&gt;"",H21&lt;&gt;""),F21*H21,"")</f>
        <v/>
      </c>
      <c r="J21" s="73" t="inlineStr">
        <is>
          <t>De cumparat</t>
        </is>
      </c>
      <c r="K21" s="66" t="n"/>
      <c r="L21" s="66" t="inlineStr">
        <is>
          <t>Pereti pana la jumatate + ferestre</t>
        </is>
      </c>
    </row>
    <row r="22" ht="21.75" customHeight="1" s="48">
      <c r="A22" s="94" t="inlineStr">
        <is>
          <t>Acoperis</t>
        </is>
      </c>
      <c r="B22" s="95" t="inlineStr">
        <is>
          <t>Capriori acoperis</t>
        </is>
      </c>
      <c r="C22" s="94" t="inlineStr">
        <is>
          <t>60x100 mm</t>
        </is>
      </c>
      <c r="D22" s="94" t="n"/>
      <c r="E22" s="94" t="n"/>
      <c r="F22" s="60" t="n">
        <v>4</v>
      </c>
      <c r="G22" s="94" t="inlineStr">
        <is>
          <t>buc</t>
        </is>
      </c>
      <c r="H22" s="61" t="n">
        <v>39</v>
      </c>
      <c r="I22" s="62">
        <f>IF(AND(F22&lt;&gt;"",H22&lt;&gt;""),F22*H22,"")</f>
        <v/>
      </c>
      <c r="J22" s="74" t="inlineStr">
        <is>
          <t>De cumparat</t>
        </is>
      </c>
      <c r="K22" s="95" t="n"/>
      <c r="L22" s="95" t="inlineStr">
        <is>
          <t>Structura acoperis inclinat</t>
        </is>
      </c>
    </row>
    <row r="23" ht="15" customHeight="1" s="48">
      <c r="A23" s="65" t="inlineStr">
        <is>
          <t>Acoperis</t>
        </is>
      </c>
      <c r="B23" s="66" t="inlineStr">
        <is>
          <t>Invelitoare (policarbonat/scandura)</t>
        </is>
      </c>
      <c r="C23" s="65" t="inlineStr">
        <is>
          <t>-</t>
        </is>
      </c>
      <c r="D23" s="65" t="n"/>
      <c r="E23" s="65" t="n"/>
      <c r="F23" s="67" t="n">
        <v>1</v>
      </c>
      <c r="G23" s="65" t="inlineStr">
        <is>
          <t>set</t>
        </is>
      </c>
      <c r="H23" s="68" t="n"/>
      <c r="I23" s="69">
        <f>IF(AND(F23&lt;&gt;"",H23&lt;&gt;""),F23*H23,"")</f>
        <v/>
      </c>
      <c r="J23" s="75" t="inlineStr">
        <is>
          <t>De decis</t>
        </is>
      </c>
      <c r="K23" s="66" t="n"/>
      <c r="L23" s="66" t="inlineStr">
        <is>
          <t>Policarbonat ondulat sau sindrila bituminoasa</t>
        </is>
      </c>
    </row>
    <row r="24" ht="15" customHeight="1" s="48">
      <c r="A24" s="94" t="inlineStr">
        <is>
          <t>Scara</t>
        </is>
      </c>
      <c r="B24" s="95" t="inlineStr">
        <is>
          <t>Scara fixa + balustrada</t>
        </is>
      </c>
      <c r="C24" s="94" t="inlineStr">
        <is>
          <t>-</t>
        </is>
      </c>
      <c r="D24" s="94" t="n"/>
      <c r="E24" s="94" t="n"/>
      <c r="F24" s="60" t="n">
        <v>1</v>
      </c>
      <c r="G24" s="94" t="inlineStr">
        <is>
          <t>set</t>
        </is>
      </c>
      <c r="H24" s="61" t="n"/>
      <c r="I24" s="62">
        <f>IF(AND(F24&lt;&gt;"",H24&lt;&gt;""),F24*H24,"")</f>
        <v/>
      </c>
      <c r="J24" s="74" t="inlineStr">
        <is>
          <t>De cumparat</t>
        </is>
      </c>
      <c r="K24" s="95" t="n"/>
      <c r="L24" s="95" t="inlineStr">
        <is>
          <t>Cu balustrada, NU franghie</t>
        </is>
      </c>
    </row>
    <row r="25" ht="15" customHeight="1" s="48">
      <c r="A25" s="65" t="inlineStr">
        <is>
          <t>Feronerie</t>
        </is>
      </c>
      <c r="B25" s="66" t="inlineStr">
        <is>
          <t>Suruburi structurale Heco (set)</t>
        </is>
      </c>
      <c r="C25" s="65" t="inlineStr">
        <is>
          <t>8x200 + 6x100 + 6x80, 3 pac</t>
        </is>
      </c>
      <c r="D25" s="65" t="inlineStr">
        <is>
          <t>Hornbach</t>
        </is>
      </c>
      <c r="E25" s="65" t="inlineStr">
        <is>
          <t>10434633/398/139</t>
        </is>
      </c>
      <c r="F25" s="67" t="n">
        <v>3</v>
      </c>
      <c r="G25" s="65" t="inlineStr">
        <is>
          <t>pac</t>
        </is>
      </c>
      <c r="H25" s="68" t="n"/>
      <c r="I25" s="69" t="n">
        <v>536.77</v>
      </c>
      <c r="J25" s="73" t="inlineStr">
        <is>
          <t>Cumparat</t>
        </is>
      </c>
      <c r="K25" s="66" t="n"/>
      <c r="L25" s="66" t="inlineStr">
        <is>
          <t>Imbinari grinzi/stalpi/contrafise/blocaje · comanda 09.06.2026</t>
        </is>
      </c>
    </row>
    <row r="26" ht="15" customHeight="1" s="48">
      <c r="A26" s="94" t="inlineStr">
        <is>
          <t>Feronerie</t>
        </is>
      </c>
      <c r="B26" s="95" t="inlineStr">
        <is>
          <t>Suruburi dusumea inox</t>
        </is>
      </c>
      <c r="C26" s="94" t="inlineStr">
        <is>
          <t>A2 5x60, 3 pac (300)</t>
        </is>
      </c>
      <c r="D26" s="94" t="inlineStr">
        <is>
          <t>Hornbach</t>
        </is>
      </c>
      <c r="E26" s="94" t="inlineStr">
        <is>
          <t>10528829</t>
        </is>
      </c>
      <c r="F26" s="60" t="n">
        <v>3</v>
      </c>
      <c r="G26" s="94" t="inlineStr">
        <is>
          <t>pac</t>
        </is>
      </c>
      <c r="H26" s="61" t="n">
        <v>55.82</v>
      </c>
      <c r="I26" s="62">
        <f>IF(AND(F26&lt;&gt;"",H26&lt;&gt;""),F26*H26,"")</f>
        <v/>
      </c>
      <c r="J26" s="74" t="inlineStr">
        <is>
          <t>Cumparat</t>
        </is>
      </c>
      <c r="K26" s="95" t="n"/>
      <c r="L26" s="95" t="inlineStr">
        <is>
          <t>Prindere larice (~204 buc necesare, 3 pachete) · comanda 09.06.2026</t>
        </is>
      </c>
    </row>
    <row r="27" ht="15" customHeight="1" s="48">
      <c r="A27" s="65" t="inlineStr">
        <is>
          <t>Feronerie</t>
        </is>
      </c>
      <c r="B27" s="66" t="inlineStr">
        <is>
          <t>Coltare imbinare C1 + C2</t>
        </is>
      </c>
      <c r="C27" s="65" t="inlineStr">
        <is>
          <t>4x 100x100x90 + 14x 90x90x65</t>
        </is>
      </c>
      <c r="D27" s="65" t="inlineStr">
        <is>
          <t>Hornbach</t>
        </is>
      </c>
      <c r="E27" s="65" t="inlineStr">
        <is>
          <t>738965 / 738910</t>
        </is>
      </c>
      <c r="F27" s="67" t="n">
        <v>18</v>
      </c>
      <c r="G27" s="65" t="inlineStr">
        <is>
          <t>buc</t>
        </is>
      </c>
      <c r="H27" s="68" t="n"/>
      <c r="I27" s="69" t="n">
        <v>95.36</v>
      </c>
      <c r="J27" s="73" t="inlineStr">
        <is>
          <t>Cumparat</t>
        </is>
      </c>
      <c r="K27" s="66" t="n"/>
      <c r="L27" s="66" t="inlineStr">
        <is>
          <t>C1 grinda fata-&gt;stalp (4); C2 anti-ridicare (12 joiste + 2 grinda spate = 14) · comanda 09.06.2026</t>
        </is>
      </c>
    </row>
    <row r="28" ht="15" customHeight="1" s="48">
      <c r="A28" s="94" t="inlineStr">
        <is>
          <t>Feronerie</t>
        </is>
      </c>
      <c r="B28" s="95" t="inlineStr">
        <is>
          <t>Buloane M12: baza papuc + tija polita + piulite</t>
        </is>
      </c>
      <c r="C28" s="94" t="inlineStr">
        <is>
          <t>M12x120 (8) baza + tija M12 (4x~220) polita</t>
        </is>
      </c>
      <c r="D28" s="94" t="inlineStr">
        <is>
          <t>Hornbach</t>
        </is>
      </c>
      <c r="E28" s="94" t="inlineStr">
        <is>
          <t>6834285 / 12130958 / 3830642</t>
        </is>
      </c>
      <c r="F28" s="60" t="n">
        <v>1</v>
      </c>
      <c r="G28" s="94" t="inlineStr">
        <is>
          <t>set</t>
        </is>
      </c>
      <c r="H28" s="61" t="n"/>
      <c r="I28" s="62" t="n">
        <v>239.39</v>
      </c>
      <c r="J28" s="74" t="inlineStr">
        <is>
          <t>Cumparat</t>
        </is>
      </c>
      <c r="K28" s="95" t="n"/>
      <c r="L28" s="95" t="inlineStr">
        <is>
          <t>Baza papuc (B2) + polita din tija taiata (B1) + piulite (B4) + saibe (B3). Toate in cos. · comanda 09.06.2026</t>
        </is>
      </c>
    </row>
    <row r="29" ht="15" customHeight="1" s="48">
      <c r="A29" s="65" t="inlineStr">
        <is>
          <t>Finisaj</t>
        </is>
      </c>
      <c r="B29" s="66" t="inlineStr">
        <is>
          <t>Ulei lemn tec (dusumea larice)</t>
        </is>
      </c>
      <c r="C29" s="65" t="inlineStr">
        <is>
          <t>Hornbach Plus 2,5 l</t>
        </is>
      </c>
      <c r="D29" s="65" t="inlineStr">
        <is>
          <t>Hornbach</t>
        </is>
      </c>
      <c r="E29" s="65" t="inlineStr">
        <is>
          <t>5509678</t>
        </is>
      </c>
      <c r="F29" s="67" t="n">
        <v>2</v>
      </c>
      <c r="G29" s="65" t="inlineStr">
        <is>
          <t>buc</t>
        </is>
      </c>
      <c r="H29" s="68" t="n">
        <v>144.39</v>
      </c>
      <c r="I29" s="69">
        <f>IF(AND(F29&lt;&gt;"",H29&lt;&gt;""),F29*H29,"")</f>
        <v/>
      </c>
      <c r="J29" s="73" t="inlineStr">
        <is>
          <t>Cumparat</t>
        </is>
      </c>
      <c r="K29" s="66" t="n"/>
      <c r="L29" s="66" t="inlineStr">
        <is>
          <t>Finisaj larice + lemn expus · comanda 09.06.2026</t>
        </is>
      </c>
    </row>
    <row r="30" ht="15" customHeight="1" s="48">
      <c r="A30" s="94" t="inlineStr">
        <is>
          <t>Finisaj</t>
        </is>
      </c>
      <c r="B30" s="95" t="inlineStr">
        <is>
          <t>Grund impregnare lemn (AVEM)</t>
        </is>
      </c>
      <c r="C30" s="94" t="inlineStr">
        <is>
          <t>Köber pe baza de apa 4 L</t>
        </is>
      </c>
      <c r="D30" s="94" t="inlineStr">
        <is>
          <t>-</t>
        </is>
      </c>
      <c r="E30" s="94" t="n"/>
      <c r="F30" s="60" t="n">
        <v>1</v>
      </c>
      <c r="G30" s="94" t="inlineStr">
        <is>
          <t>buc</t>
        </is>
      </c>
      <c r="H30" s="61" t="n">
        <v>0</v>
      </c>
      <c r="I30" s="62">
        <f>IF(AND(F30&lt;&gt;"",H30&lt;&gt;""),F30*H30,"")</f>
        <v/>
      </c>
      <c r="J30" s="74" t="inlineStr">
        <is>
          <t>Cumparat</t>
        </is>
      </c>
      <c r="K30" s="95" t="n"/>
      <c r="L30" s="95" t="inlineStr">
        <is>
          <t>Il avem deja; inlocuieste lazura Hornbach. Strat de baza structura.</t>
        </is>
      </c>
    </row>
    <row r="31" ht="15" customHeight="1" s="48">
      <c r="A31" s="65" t="inlineStr">
        <is>
          <t>Siguranta</t>
        </is>
      </c>
      <c r="B31" s="66" t="inlineStr">
        <is>
          <t>Material sol moale</t>
        </is>
      </c>
      <c r="C31" s="65" t="inlineStr">
        <is>
          <t>scoarta/nisip</t>
        </is>
      </c>
      <c r="D31" s="65" t="n"/>
      <c r="E31" s="65" t="n"/>
      <c r="F31" s="67" t="n">
        <v>1</v>
      </c>
      <c r="G31" s="65" t="inlineStr">
        <is>
          <t>lot</t>
        </is>
      </c>
      <c r="H31" s="68" t="n"/>
      <c r="I31" s="69">
        <f>IF(AND(F31&lt;&gt;"",H31&lt;&gt;""),F31*H31,"")</f>
        <v/>
      </c>
      <c r="J31" s="73" t="inlineStr">
        <is>
          <t>De cumparat</t>
        </is>
      </c>
      <c r="K31" s="66" t="n"/>
      <c r="L31" s="66" t="inlineStr">
        <is>
          <t>Sub platforma — amortizare cadere</t>
        </is>
      </c>
    </row>
    <row r="32" ht="15" customHeight="1" s="48">
      <c r="A32" s="94" t="inlineStr">
        <is>
          <t>Joaca</t>
        </is>
      </c>
      <c r="B32" s="95" t="inlineStr">
        <is>
          <t>Tobogan</t>
        </is>
      </c>
      <c r="C32" s="94" t="inlineStr">
        <is>
          <t>-</t>
        </is>
      </c>
      <c r="D32" s="94" t="n"/>
      <c r="E32" s="94" t="n"/>
      <c r="F32" s="60" t="n">
        <v>1</v>
      </c>
      <c r="G32" s="94" t="inlineStr">
        <is>
          <t>buc</t>
        </is>
      </c>
      <c r="H32" s="61" t="n"/>
      <c r="I32" s="62">
        <f>IF(AND(F32&lt;&gt;"",H32&lt;&gt;""),F32*H32,"")</f>
        <v/>
      </c>
      <c r="J32" s="72" t="inlineStr">
        <is>
          <t>De decis</t>
        </is>
      </c>
      <c r="K32" s="95" t="n"/>
      <c r="L32" s="95" t="inlineStr">
        <is>
          <t>Extra, optional</t>
        </is>
      </c>
    </row>
    <row r="33">
      <c r="A33" s="65" t="inlineStr">
        <is>
          <t>Joaca</t>
        </is>
      </c>
      <c r="B33" s="66" t="inlineStr">
        <is>
          <t>Franghie catarare / scripete cu galeata</t>
        </is>
      </c>
      <c r="C33" s="65" t="inlineStr">
        <is>
          <t>-</t>
        </is>
      </c>
      <c r="D33" s="65" t="n"/>
      <c r="E33" s="65" t="n"/>
      <c r="F33" s="67" t="n">
        <v>1</v>
      </c>
      <c r="G33" s="65" t="inlineStr">
        <is>
          <t>set</t>
        </is>
      </c>
      <c r="H33" s="68" t="n"/>
      <c r="I33" s="69">
        <f>IF(AND(F33&lt;&gt;"",H33&lt;&gt;""),F33*H33,"")</f>
        <v/>
      </c>
      <c r="J33" s="75" t="inlineStr">
        <is>
          <t>De decis</t>
        </is>
      </c>
      <c r="K33" s="66" t="n"/>
      <c r="L33" s="66" t="inlineStr">
        <is>
          <t>Extra, optional</t>
        </is>
      </c>
    </row>
    <row r="34" ht="15" customHeight="1" s="48">
      <c r="A34" s="65" t="inlineStr">
        <is>
          <t>Finisaj</t>
        </is>
      </c>
      <c r="B34" s="66" t="inlineStr">
        <is>
          <t>Topcoat colorat exterior</t>
        </is>
      </c>
      <c r="C34" s="65" t="inlineStr">
        <is>
          <t>alegerea ta de culoare</t>
        </is>
      </c>
      <c r="D34" s="65" t="n"/>
      <c r="E34" s="65" t="n"/>
      <c r="F34" s="67" t="n">
        <v>1</v>
      </c>
      <c r="G34" s="65" t="inlineStr">
        <is>
          <t>buc</t>
        </is>
      </c>
      <c r="H34" s="68" t="n">
        <v>170</v>
      </c>
      <c r="I34" s="69">
        <f>IF(AND(F34&lt;&gt;"",H34&lt;&gt;""),F34*H34,"")</f>
        <v/>
      </c>
      <c r="J34" s="75" t="inlineStr">
        <is>
          <t>De decis</t>
        </is>
      </c>
      <c r="K34" s="66" t="n"/>
      <c r="L34" s="66" t="inlineStr">
        <is>
          <t>Culoarea finala; il alegi tu</t>
        </is>
      </c>
    </row>
    <row r="35" ht="15" customHeight="1" s="48">
      <c r="A35" s="76" t="inlineStr">
        <is>
          <t>Legenda status:</t>
        </is>
      </c>
      <c r="B35" s="77" t="inlineStr">
        <is>
          <t>Cumparat</t>
        </is>
      </c>
      <c r="C35" s="78" t="inlineStr">
        <is>
          <t>De cumparat</t>
        </is>
      </c>
      <c r="D35" s="79" t="inlineStr">
        <is>
          <t>De decis</t>
        </is>
      </c>
    </row>
    <row r="36">
      <c r="A36" s="80" t="inlineStr">
        <is>
          <t>Preturile goale se completeaza in magazin. Total se calculeaza automat (Cant. x Pret unitar).</t>
        </is>
      </c>
    </row>
  </sheetData>
  <mergeCells count="2">
    <mergeCell ref="A2:L2"/>
    <mergeCell ref="A1:L1"/>
  </mergeCells>
  <hyperlinks>
    <hyperlink xmlns:r="http://schemas.openxmlformats.org/officeDocument/2006/relationships" ref="K11" display="Hornbach" r:id="rId1"/>
    <hyperlink xmlns:r="http://schemas.openxmlformats.org/officeDocument/2006/relationships" ref="K12" display="Leroy Merlin" r:id="rId2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4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6" customWidth="1" style="47" min="1" max="1"/>
    <col width="30" customWidth="1" style="47" min="2" max="2"/>
    <col width="20" customWidth="1" style="47" min="3" max="3"/>
    <col width="16" customWidth="1" style="47" min="4" max="4"/>
    <col width="6" customWidth="1" style="47" min="5" max="5"/>
    <col width="16" customWidth="1" style="47" min="6" max="6"/>
    <col width="13" customWidth="1" style="47" min="7" max="7"/>
    <col width="42" customWidth="1" style="47" min="8" max="8"/>
  </cols>
  <sheetData>
    <row r="1" ht="27.75" customHeight="1" s="48">
      <c r="A1" s="81" t="inlineStr">
        <is>
          <t>CASUTA DIN COPAC  ·  Plan de debitare (cut list)</t>
        </is>
      </c>
    </row>
    <row r="2" ht="15" customHeight="1" s="48">
      <c r="A2" s="50" t="inlineStr">
        <is>
          <t>Structura blocata: stalpi spate 4m continui · stalpi fata taiati la +1872 (328 sub podea) · joiste Leroy fata-spate (consola 700) · pereti imbracati (bracaj) · acoperis 1 apa doar peste casuta</t>
        </is>
      </c>
    </row>
    <row r="4" ht="24" customHeight="1" s="48">
      <c r="A4" s="57" t="inlineStr">
        <is>
          <t>Poz.</t>
        </is>
      </c>
      <c r="B4" s="57" t="inlineStr">
        <is>
          <t>Element</t>
        </is>
      </c>
      <c r="C4" s="57" t="inlineStr">
        <is>
          <t>Sectiune</t>
        </is>
      </c>
      <c r="D4" s="57" t="inlineStr">
        <is>
          <t>Lung. taiere (mm)</t>
        </is>
      </c>
      <c r="E4" s="57" t="inlineStr">
        <is>
          <t>Buc</t>
        </is>
      </c>
      <c r="F4" s="57" t="inlineStr">
        <is>
          <t>Sursa</t>
        </is>
      </c>
      <c r="G4" s="57" t="inlineStr">
        <is>
          <t>Magazin</t>
        </is>
      </c>
      <c r="H4" s="57" t="inlineStr">
        <is>
          <t>Note</t>
        </is>
      </c>
    </row>
    <row r="5" ht="18" customHeight="1" s="48">
      <c r="A5" s="82" t="inlineStr">
        <is>
          <t>STRUCTURA PORTANTA</t>
        </is>
      </c>
      <c r="B5" s="83" t="n"/>
      <c r="C5" s="83" t="n"/>
      <c r="D5" s="83" t="n"/>
      <c r="E5" s="83" t="n"/>
      <c r="F5" s="83" t="n"/>
      <c r="G5" s="83" t="n"/>
      <c r="H5" s="84" t="n"/>
    </row>
    <row r="6" ht="21.75" customHeight="1" s="48">
      <c r="A6" s="72" t="inlineStr">
        <is>
          <t>P1</t>
        </is>
      </c>
      <c r="B6" s="95" t="inlineStr">
        <is>
          <t>Stalpi spate (inalti)</t>
        </is>
      </c>
      <c r="C6" s="95" t="inlineStr">
        <is>
          <t>KVH 100×100</t>
        </is>
      </c>
      <c r="D6" s="97" t="inlineStr">
        <is>
          <t>~3800</t>
        </is>
      </c>
      <c r="E6" s="97" t="inlineStr">
        <is>
          <t>2</t>
        </is>
      </c>
      <c r="F6" s="96" t="inlineStr">
        <is>
          <t>AVEM</t>
        </is>
      </c>
      <c r="G6" s="94" t="inlineStr">
        <is>
          <t>Hornbach</t>
        </is>
      </c>
      <c r="H6" s="95" t="inlineStr">
        <is>
          <t>Continui pamant→acoperis; dau coama (latura inalta). Taiere finala pe loc.</t>
        </is>
      </c>
    </row>
    <row r="7" ht="21.75" customHeight="1" s="48">
      <c r="A7" s="72" t="inlineStr">
        <is>
          <t>P2</t>
        </is>
      </c>
      <c r="B7" s="95" t="inlineStr">
        <is>
          <t>Stalpi fata (la podea)</t>
        </is>
      </c>
      <c r="C7" s="95" t="inlineStr">
        <is>
          <t>KVH 100×100</t>
        </is>
      </c>
      <c r="D7" s="97" t="inlineStr">
        <is>
          <t>1872</t>
        </is>
      </c>
      <c r="E7" s="97" t="inlineStr">
        <is>
          <t>2</t>
        </is>
      </c>
      <c r="F7" s="96" t="inlineStr">
        <is>
          <t>AVEM</t>
        </is>
      </c>
      <c r="G7" s="94" t="inlineStr">
        <is>
          <t>Hornbach</t>
        </is>
      </c>
      <c r="H7" s="95" t="inlineStr">
        <is>
          <t>Taiati la +1872 (sub podea: grinda 200 + joista 100 + dusumea 28 = 2200). Offcut ~2128 pt contrafise/blocuri.</t>
        </is>
      </c>
    </row>
    <row r="8" ht="21.75" customHeight="1" s="48">
      <c r="A8" s="72" t="inlineStr">
        <is>
          <t>P3</t>
        </is>
      </c>
      <c r="B8" s="95" t="inlineStr">
        <is>
          <t>Grinzi principale (fata+spate)</t>
        </is>
      </c>
      <c r="C8" s="95" t="inlineStr">
        <is>
          <t>Glulam 90x200</t>
        </is>
      </c>
      <c r="D8" s="97" t="inlineStr">
        <is>
          <t>~2300</t>
        </is>
      </c>
      <c r="E8" s="97" t="inlineStr">
        <is>
          <t>2</t>
        </is>
      </c>
      <c r="F8" s="74" t="inlineStr">
        <is>
          <t>NOU</t>
        </is>
      </c>
      <c r="G8" s="94" t="inlineStr">
        <is>
          <t>Hornbach</t>
        </is>
      </c>
      <c r="H8" s="95" t="inlineStr">
        <is>
          <t>2 grinzi glulam. Fata pe varful stalpului + C1; spate pe polita + 2x M12. Componenta critica.</t>
        </is>
      </c>
    </row>
    <row r="9" ht="15" customHeight="1" s="48">
      <c r="A9" s="72" t="inlineStr">
        <is>
          <t>P4</t>
        </is>
      </c>
      <c r="B9" s="95" t="inlineStr">
        <is>
          <t>Joiste podea</t>
        </is>
      </c>
      <c r="C9" s="95" t="inlineStr">
        <is>
          <t>100×100</t>
        </is>
      </c>
      <c r="D9" s="97" t="inlineStr">
        <is>
          <t>~2550</t>
        </is>
      </c>
      <c r="E9" s="97" t="inlineStr">
        <is>
          <t>6</t>
        </is>
      </c>
      <c r="F9" s="74" t="inlineStr">
        <is>
          <t>4 AVEM + 2 NOU</t>
        </is>
      </c>
      <c r="G9" s="94" t="inlineStr">
        <is>
          <t>Leroy</t>
        </is>
      </c>
      <c r="H9" s="95" t="inlineStr">
        <is>
          <t>Fata-spate (consola 700), CONTINUE. Pozitii de la S4: 100/280/720/1120/1550/1980 — ocolesc trunchiul.</t>
        </is>
      </c>
    </row>
    <row r="10" ht="21.75" customHeight="1" s="48">
      <c r="A10" s="72" t="inlineStr">
        <is>
          <t>P4b</t>
        </is>
      </c>
      <c r="B10" s="95" t="inlineStr">
        <is>
          <t>Rama gaura copac (headers)</t>
        </is>
      </c>
      <c r="C10" s="95" t="inlineStr">
        <is>
          <t>din offcut 100×100</t>
        </is>
      </c>
      <c r="D10" s="97" t="inlineStr">
        <is>
          <t>~300</t>
        </is>
      </c>
      <c r="E10" s="97" t="inlineStr">
        <is>
          <t>2</t>
        </is>
      </c>
      <c r="F10" s="96" t="inlineStr">
        <is>
          <t>DIN OFFCUT</t>
        </is>
      </c>
      <c r="G10" s="94" t="inlineStr">
        <is>
          <t>-</t>
        </is>
      </c>
      <c r="H10" s="95" t="inlineStr">
        <is>
          <t>Doua traverse scurte intre joistele de la 280 si 720, sus+jos in jurul gaurii. Sustin capetele dusumelei.</t>
        </is>
      </c>
    </row>
    <row r="11" ht="18" customHeight="1" s="48">
      <c r="A11" s="72" t="inlineStr">
        <is>
          <t>P5</t>
        </is>
      </c>
      <c r="B11" s="83" t="n"/>
      <c r="C11" s="83" t="n"/>
      <c r="D11" s="83" t="n"/>
      <c r="E11" s="83" t="n"/>
      <c r="F11" s="83" t="n"/>
      <c r="G11" s="83" t="n"/>
      <c r="H11" s="84" t="n"/>
    </row>
    <row r="12" ht="21.75" customHeight="1" s="48">
      <c r="A12" s="82" t="inlineStr">
        <is>
          <t>PODEA</t>
        </is>
      </c>
      <c r="B12" s="86" t="n"/>
      <c r="C12" s="86" t="n"/>
      <c r="D12" s="86" t="n"/>
      <c r="E12" s="86" t="n"/>
      <c r="F12" s="86" t="n"/>
      <c r="G12" s="86" t="n"/>
      <c r="H12" s="87" t="n"/>
    </row>
    <row r="13" ht="18" customHeight="1" s="48">
      <c r="A13" s="72" t="inlineStr">
        <is>
          <t>P6</t>
        </is>
      </c>
      <c r="B13" s="83" t="n"/>
      <c r="C13" s="83" t="n"/>
      <c r="D13" s="83" t="n"/>
      <c r="E13" s="83" t="n"/>
      <c r="F13" s="83" t="n"/>
      <c r="G13" s="83" t="n"/>
      <c r="H13" s="84" t="n"/>
    </row>
    <row r="14" ht="15" customHeight="1" s="48">
      <c r="A14" s="82" t="inlineStr">
        <is>
          <t>PERETI CASUTA (bracaj)</t>
        </is>
      </c>
      <c r="B14" s="86" t="n"/>
      <c r="C14" s="86" t="n"/>
      <c r="D14" s="86" t="n"/>
      <c r="E14" s="86" t="n"/>
      <c r="F14" s="86" t="n"/>
      <c r="G14" s="86" t="n"/>
      <c r="H14" s="87" t="n"/>
    </row>
    <row r="15" ht="15" customHeight="1" s="48">
      <c r="A15" s="72" t="inlineStr">
        <is>
          <t>P7</t>
        </is>
      </c>
      <c r="B15" s="95" t="inlineStr">
        <is>
          <t>Talpi + coronament pereti</t>
        </is>
      </c>
      <c r="C15" s="95" t="inlineStr">
        <is>
          <t>50×80</t>
        </is>
      </c>
      <c r="D15" s="97" t="inlineStr">
        <is>
          <t>var</t>
        </is>
      </c>
      <c r="E15" s="97" t="inlineStr">
        <is>
          <t>~6</t>
        </is>
      </c>
      <c r="F15" s="74" t="inlineStr">
        <is>
          <t>NOU</t>
        </is>
      </c>
      <c r="G15" s="94" t="inlineStr">
        <is>
          <t>oricare</t>
        </is>
      </c>
      <c r="H15" s="95" t="inlineStr">
        <is>
          <t>Plate sus/jos pe cele 4 laturi (gol usa spre balcon).</t>
        </is>
      </c>
    </row>
    <row r="16" ht="21.75" customHeight="1" s="48">
      <c r="A16" s="72" t="inlineStr">
        <is>
          <t>P8</t>
        </is>
      </c>
      <c r="B16" s="95" t="inlineStr">
        <is>
          <t>Montanti pereti</t>
        </is>
      </c>
      <c r="C16" s="95" t="inlineStr">
        <is>
          <t>50×80</t>
        </is>
      </c>
      <c r="D16" s="97" t="inlineStr">
        <is>
          <t>~1400</t>
        </is>
      </c>
      <c r="E16" s="97" t="inlineStr">
        <is>
          <t>~14</t>
        </is>
      </c>
      <c r="F16" s="74" t="inlineStr">
        <is>
          <t>NOU</t>
        </is>
      </c>
      <c r="G16" s="94" t="inlineStr">
        <is>
          <t>oricare</t>
        </is>
      </c>
      <c r="H16" s="95" t="inlineStr">
        <is>
          <t>Interax 600 mm. Mai inalti in spate (latura coamei).</t>
        </is>
      </c>
    </row>
    <row r="17" ht="18" customHeight="1" s="48">
      <c r="A17" s="72" t="inlineStr">
        <is>
          <t>P9</t>
        </is>
      </c>
      <c r="B17" s="83" t="n"/>
      <c r="C17" s="83" t="n"/>
      <c r="D17" s="83" t="n"/>
      <c r="E17" s="83" t="n"/>
      <c r="F17" s="83" t="n"/>
      <c r="G17" s="83" t="n"/>
      <c r="H17" s="84" t="n"/>
    </row>
    <row r="18" ht="15" customHeight="1" s="48">
      <c r="A18" s="82" t="inlineStr">
        <is>
          <t>ACOPERIS (1 apa, doar casuta)</t>
        </is>
      </c>
      <c r="B18" s="86" t="n"/>
      <c r="C18" s="86" t="n"/>
      <c r="D18" s="86" t="n"/>
      <c r="E18" s="86" t="n"/>
      <c r="F18" s="86" t="n"/>
      <c r="G18" s="86" t="n"/>
      <c r="H18" s="87" t="n"/>
    </row>
    <row r="19" ht="15" customHeight="1" s="48">
      <c r="A19" s="72" t="inlineStr">
        <is>
          <t>P10</t>
        </is>
      </c>
      <c r="B19" s="95" t="inlineStr">
        <is>
          <t>Capriori</t>
        </is>
      </c>
      <c r="C19" s="95" t="inlineStr">
        <is>
          <t>60×100</t>
        </is>
      </c>
      <c r="D19" s="97" t="inlineStr">
        <is>
          <t>~1400</t>
        </is>
      </c>
      <c r="E19" s="97" t="inlineStr">
        <is>
          <t>4</t>
        </is>
      </c>
      <c r="F19" s="74" t="inlineStr">
        <is>
          <t>NOU</t>
        </is>
      </c>
      <c r="G19" s="94" t="inlineStr">
        <is>
          <t>oricare</t>
        </is>
      </c>
      <c r="H19" s="95" t="inlineStr">
        <is>
          <t>Panta spre gradina, mic streasin in spate.</t>
        </is>
      </c>
    </row>
    <row r="20" ht="21.75" customHeight="1" s="48">
      <c r="A20" s="72" t="inlineStr">
        <is>
          <t>P11</t>
        </is>
      </c>
      <c r="B20" s="95" t="inlineStr">
        <is>
          <t>Astereala acoperis</t>
        </is>
      </c>
      <c r="C20" s="95" t="inlineStr">
        <is>
          <t>OSB3 / scandura</t>
        </is>
      </c>
      <c r="D20" s="97" t="inlineStr">
        <is>
          <t>2500×1250</t>
        </is>
      </c>
      <c r="E20" s="97" t="inlineStr">
        <is>
          <t>1 placa</t>
        </is>
      </c>
      <c r="F20" s="74" t="inlineStr">
        <is>
          <t>NOU</t>
        </is>
      </c>
      <c r="G20" s="94" t="inlineStr">
        <is>
          <t>oricare</t>
        </is>
      </c>
      <c r="H20" s="95" t="inlineStr">
        <is>
          <t>Suport invelitoare.</t>
        </is>
      </c>
    </row>
    <row r="21" ht="18" customHeight="1" s="48">
      <c r="A21" s="72" t="inlineStr">
        <is>
          <t>P12</t>
        </is>
      </c>
      <c r="B21" s="83" t="n"/>
      <c r="C21" s="83" t="n"/>
      <c r="D21" s="83" t="n"/>
      <c r="E21" s="83" t="n"/>
      <c r="F21" s="83" t="n"/>
      <c r="G21" s="83" t="n"/>
      <c r="H21" s="84" t="n"/>
    </row>
    <row r="22" ht="15" customHeight="1" s="48">
      <c r="A22" s="82" t="inlineStr">
        <is>
          <t>BALUSTRADA BALCON (3 laturi)</t>
        </is>
      </c>
      <c r="B22" s="86" t="n"/>
      <c r="C22" s="86" t="n"/>
      <c r="D22" s="86" t="n"/>
      <c r="E22" s="86" t="n"/>
      <c r="F22" s="86" t="n"/>
      <c r="G22" s="86" t="n"/>
      <c r="H22" s="87" t="n"/>
    </row>
    <row r="23" ht="15" customHeight="1" s="48">
      <c r="A23" s="72" t="inlineStr">
        <is>
          <t>P13</t>
        </is>
      </c>
      <c r="B23" s="95" t="inlineStr">
        <is>
          <t>Stalpisori balustrada</t>
        </is>
      </c>
      <c r="C23" s="95" t="inlineStr">
        <is>
          <t>58×58</t>
        </is>
      </c>
      <c r="D23" s="97" t="inlineStr">
        <is>
          <t>1000</t>
        </is>
      </c>
      <c r="E23" s="97" t="inlineStr">
        <is>
          <t>7</t>
        </is>
      </c>
      <c r="F23" s="74" t="inlineStr">
        <is>
          <t>NOU</t>
        </is>
      </c>
      <c r="G23" s="94" t="inlineStr">
        <is>
          <t>Hornbach</t>
        </is>
      </c>
      <c r="H23" s="95" t="inlineStr">
        <is>
          <t>Interax ~900 mm, inclusiv pe nasul consolei.</t>
        </is>
      </c>
    </row>
    <row r="24" ht="15" customHeight="1" s="48">
      <c r="A24" s="72" t="inlineStr">
        <is>
          <t>P14</t>
        </is>
      </c>
      <c r="B24" s="95" t="inlineStr">
        <is>
          <t>Mana curenta + rigla jos</t>
        </is>
      </c>
      <c r="C24" s="95" t="inlineStr">
        <is>
          <t>45×70</t>
        </is>
      </c>
      <c r="D24" s="97" t="inlineStr">
        <is>
          <t>~9 m total</t>
        </is>
      </c>
      <c r="E24" s="97" t="inlineStr">
        <is>
          <t>2</t>
        </is>
      </c>
      <c r="F24" s="74" t="inlineStr">
        <is>
          <t>NOU</t>
        </is>
      </c>
      <c r="G24" s="94" t="inlineStr">
        <is>
          <t>oricare</t>
        </is>
      </c>
      <c r="H24" s="95" t="inlineStr">
        <is>
          <t>Sus si jos, jur-imprejur.</t>
        </is>
      </c>
    </row>
    <row r="25" ht="18" customHeight="1" s="48">
      <c r="A25" s="72" t="inlineStr">
        <is>
          <t>P15</t>
        </is>
      </c>
      <c r="B25" s="83" t="n"/>
      <c r="C25" s="83" t="n"/>
      <c r="D25" s="83" t="n"/>
      <c r="E25" s="83" t="n"/>
      <c r="F25" s="83" t="n"/>
      <c r="G25" s="83" t="n"/>
      <c r="H25" s="84" t="n"/>
    </row>
    <row r="26" ht="15" customHeight="1" s="48">
      <c r="A26" s="82" t="inlineStr">
        <is>
          <t>SCARA</t>
        </is>
      </c>
      <c r="B26" s="86" t="n"/>
      <c r="C26" s="86" t="n"/>
      <c r="D26" s="86" t="n"/>
      <c r="E26" s="86" t="n"/>
      <c r="F26" s="86" t="n"/>
      <c r="G26" s="86" t="n"/>
      <c r="H26" s="87" t="n"/>
    </row>
    <row r="27" ht="15" customHeight="1" s="48">
      <c r="A27" s="72" t="inlineStr">
        <is>
          <t>P16</t>
        </is>
      </c>
      <c r="B27" s="95" t="inlineStr">
        <is>
          <t>Coarde scara</t>
        </is>
      </c>
      <c r="C27" s="95" t="inlineStr">
        <is>
          <t>60x140</t>
        </is>
      </c>
      <c r="D27" s="97" t="inlineStr">
        <is>
          <t>~3000</t>
        </is>
      </c>
      <c r="E27" s="97" t="inlineStr">
        <is>
          <t>2</t>
        </is>
      </c>
      <c r="F27" s="74" t="inlineStr">
        <is>
          <t>NOU</t>
        </is>
      </c>
      <c r="G27" s="94" t="inlineStr">
        <is>
          <t>oricare</t>
        </is>
      </c>
      <c r="H27" s="95" t="inlineStr">
        <is>
          <t>Panta de la sol/balcon la podea.</t>
        </is>
      </c>
    </row>
    <row r="28" ht="15" customHeight="1" s="48">
      <c r="A28" s="72" t="inlineStr">
        <is>
          <t>P17</t>
        </is>
      </c>
      <c r="B28" s="95" t="inlineStr">
        <is>
          <t>Trepte</t>
        </is>
      </c>
      <c r="C28" s="95" t="inlineStr">
        <is>
          <t>45x190</t>
        </is>
      </c>
      <c r="D28" s="97" t="inlineStr">
        <is>
          <t>600</t>
        </is>
      </c>
      <c r="E28" s="97" t="inlineStr">
        <is>
          <t>10</t>
        </is>
      </c>
      <c r="F28" s="74" t="inlineStr">
        <is>
          <t>NOU</t>
        </is>
      </c>
      <c r="G28" s="94" t="inlineStr">
        <is>
          <t>oricare</t>
        </is>
      </c>
      <c r="H28" s="95" t="inlineStr">
        <is>
          <t>Trepte solide.</t>
        </is>
      </c>
    </row>
    <row r="29" ht="18" customHeight="1" s="48">
      <c r="A29" s="72" t="inlineStr">
        <is>
          <t>P18</t>
        </is>
      </c>
      <c r="B29" s="83" t="n"/>
      <c r="C29" s="83" t="n"/>
      <c r="D29" s="83" t="n"/>
      <c r="E29" s="83" t="n"/>
      <c r="F29" s="83" t="n"/>
      <c r="G29" s="83" t="n"/>
      <c r="H29" s="84" t="n"/>
    </row>
    <row r="30" ht="21.75" customHeight="1" s="48">
      <c r="A30" s="82" t="inlineStr">
        <is>
          <t>MASA-COPAC</t>
        </is>
      </c>
      <c r="B30" s="86" t="n"/>
      <c r="C30" s="86" t="n"/>
      <c r="D30" s="86" t="n"/>
      <c r="E30" s="86" t="n"/>
      <c r="F30" s="86" t="n"/>
      <c r="G30" s="86" t="n"/>
      <c r="H30" s="87" t="n"/>
    </row>
    <row r="31" ht="15" customHeight="1" s="48">
      <c r="A31" s="72" t="inlineStr">
        <is>
          <t>P19</t>
        </is>
      </c>
      <c r="B31" s="95" t="inlineStr">
        <is>
          <t>Blat masa</t>
        </is>
      </c>
      <c r="C31" s="95" t="inlineStr">
        <is>
          <t>panou / scandura lipita ~Ø500</t>
        </is>
      </c>
      <c r="D31" s="97" t="inlineStr">
        <is>
          <t>-</t>
        </is>
      </c>
      <c r="E31" s="97" t="inlineStr">
        <is>
          <t>1</t>
        </is>
      </c>
      <c r="F31" s="74" t="inlineStr">
        <is>
          <t>NOU/offcut</t>
        </is>
      </c>
      <c r="G31" s="94" t="inlineStr">
        <is>
          <t>oricare</t>
        </is>
      </c>
      <c r="H31" s="95" t="inlineStr">
        <is>
          <t>Fixat de PODEA prin cadru propriu, NU de copac. Capat trunchi tesit+capac.</t>
        </is>
      </c>
    </row>
    <row r="32" ht="18" customHeight="1" s="48">
      <c r="A32" s="72" t="inlineStr">
        <is>
          <t>P20</t>
        </is>
      </c>
      <c r="B32" s="83" t="n"/>
      <c r="C32" s="83" t="n"/>
      <c r="D32" s="83" t="n"/>
      <c r="E32" s="83" t="n"/>
      <c r="F32" s="83" t="n"/>
      <c r="G32" s="83" t="n"/>
      <c r="H32" s="84" t="n"/>
    </row>
    <row r="33" ht="15" customHeight="1" s="48">
      <c r="A33" s="82" t="inlineStr">
        <is>
          <t>FERONERIE</t>
        </is>
      </c>
      <c r="B33" s="86" t="n"/>
      <c r="C33" s="86" t="n"/>
      <c r="D33" s="86" t="n"/>
      <c r="E33" s="86" t="n"/>
      <c r="F33" s="86" t="n"/>
      <c r="G33" s="86" t="n"/>
      <c r="H33" s="87" t="n"/>
    </row>
    <row r="34" ht="15" customHeight="1" s="48">
      <c r="A34" s="72" t="inlineStr">
        <is>
          <t>P21</t>
        </is>
      </c>
      <c r="B34" s="95" t="inlineStr">
        <is>
          <t>Buloane M12 + piulite + saibe</t>
        </is>
      </c>
      <c r="C34" s="95" t="inlineStr">
        <is>
          <t>M12: 8x120 baza + tija M12 polita</t>
        </is>
      </c>
      <c r="D34" s="97" t="inlineStr">
        <is>
          <t>-</t>
        </is>
      </c>
      <c r="E34" s="97" t="inlineStr">
        <is>
          <t>12</t>
        </is>
      </c>
      <c r="F34" s="74" t="inlineStr">
        <is>
          <t>NOU</t>
        </is>
      </c>
      <c r="G34" s="94" t="inlineStr">
        <is>
          <t>oricare</t>
        </is>
      </c>
      <c r="H34" s="95" t="inlineStr">
        <is>
          <t>Baza papuc: 8x M12x120. Polita: tija filetata M12 1m taiata in 4x ~220 mm (cod 12130958) + piulite + saibe.</t>
        </is>
      </c>
    </row>
    <row r="35" ht="15" customHeight="1" s="48">
      <c r="A35" s="72" t="inlineStr">
        <is>
          <t>P22</t>
        </is>
      </c>
      <c r="B35" s="95" t="inlineStr">
        <is>
          <t>Coltare metalice C1 + C2</t>
        </is>
      </c>
      <c r="C35" s="95" t="inlineStr">
        <is>
          <t>C1 100x100x90 (4) + C2 90x90x65 (12)</t>
        </is>
      </c>
      <c r="D35" s="97" t="inlineStr">
        <is>
          <t>-</t>
        </is>
      </c>
      <c r="E35" s="97" t="inlineStr">
        <is>
          <t>16</t>
        </is>
      </c>
      <c r="F35" s="74" t="inlineStr">
        <is>
          <t>NOU</t>
        </is>
      </c>
      <c r="G35" s="94" t="inlineStr">
        <is>
          <t>Hornbach</t>
        </is>
      </c>
      <c r="H35" s="95" t="inlineStr">
        <is>
          <t>C1 grinda fata-&gt;stalp (4); C2 joiste anti-ridicare (12).</t>
        </is>
      </c>
    </row>
    <row r="36" ht="15" customHeight="1" s="48">
      <c r="A36" s="72" t="inlineStr">
        <is>
          <t>P23</t>
        </is>
      </c>
      <c r="B36" s="95" t="inlineStr">
        <is>
          <t>Suruburi structurale Heco</t>
        </is>
      </c>
      <c r="C36" s="95" t="inlineStr">
        <is>
          <t>Heco 8x200, pac 100</t>
        </is>
      </c>
      <c r="D36" s="97" t="inlineStr">
        <is>
          <t>-</t>
        </is>
      </c>
      <c r="E36" s="97" t="inlineStr">
        <is>
          <t>1 pac</t>
        </is>
      </c>
      <c r="F36" s="74" t="inlineStr">
        <is>
          <t>NOU</t>
        </is>
      </c>
      <c r="G36" s="94" t="inlineStr">
        <is>
          <t>Hornbach</t>
        </is>
      </c>
      <c r="H36" s="95" t="inlineStr">
        <is>
          <t>Imbinari lemn-lemn (cod 10434633). Fara pre-gaurire.</t>
        </is>
      </c>
    </row>
    <row r="37" ht="18" customHeight="1" s="48">
      <c r="A37" s="72" t="inlineStr">
        <is>
          <t>P24</t>
        </is>
      </c>
      <c r="B37" s="83" t="n"/>
      <c r="C37" s="83" t="n"/>
      <c r="D37" s="83" t="n"/>
      <c r="E37" s="83" t="n"/>
      <c r="F37" s="83" t="n"/>
      <c r="G37" s="83" t="n"/>
      <c r="H37" s="84" t="n"/>
    </row>
    <row r="38" ht="15" customHeight="1" s="48">
      <c r="A38" s="82" t="inlineStr">
        <is>
          <t>FINISAJ + SOL</t>
        </is>
      </c>
      <c r="B38" s="86" t="n"/>
      <c r="C38" s="86" t="n"/>
      <c r="D38" s="86" t="n"/>
      <c r="E38" s="86" t="n"/>
      <c r="F38" s="86" t="n"/>
      <c r="G38" s="86" t="n"/>
      <c r="H38" s="87" t="n"/>
    </row>
    <row r="39" ht="15" customHeight="1" s="48">
      <c r="A39" s="72" t="inlineStr">
        <is>
          <t>P25</t>
        </is>
      </c>
      <c r="B39" s="95" t="inlineStr">
        <is>
          <t>Grund izolare lemn</t>
        </is>
      </c>
      <c r="C39" s="95" t="inlineStr">
        <is>
          <t>2,5 l</t>
        </is>
      </c>
      <c r="D39" s="97" t="inlineStr">
        <is>
          <t>-</t>
        </is>
      </c>
      <c r="E39" s="97" t="inlineStr">
        <is>
          <t>1</t>
        </is>
      </c>
      <c r="F39" s="74" t="inlineStr">
        <is>
          <t>NOU</t>
        </is>
      </c>
      <c r="G39" s="94" t="inlineStr">
        <is>
          <t>Hornbach</t>
        </is>
      </c>
      <c r="H39" s="95" t="inlineStr">
        <is>
          <t>Strat de baza.</t>
        </is>
      </c>
    </row>
    <row r="40" ht="15" customHeight="1" s="48">
      <c r="A40" s="72" t="inlineStr">
        <is>
          <t>P26</t>
        </is>
      </c>
      <c r="B40" s="95" t="inlineStr">
        <is>
          <t>Vopsea protectie exterior</t>
        </is>
      </c>
      <c r="C40" s="95" t="inlineStr">
        <is>
          <t>6 l</t>
        </is>
      </c>
      <c r="D40" s="97" t="inlineStr">
        <is>
          <t>-</t>
        </is>
      </c>
      <c r="E40" s="97" t="inlineStr">
        <is>
          <t>2</t>
        </is>
      </c>
      <c r="F40" s="74" t="inlineStr">
        <is>
          <t>NOU</t>
        </is>
      </c>
      <c r="G40" s="94" t="inlineStr">
        <is>
          <t>Hornbach</t>
        </is>
      </c>
      <c r="H40" s="95" t="inlineStr">
        <is>
          <t>Wetterschutz sau similar.</t>
        </is>
      </c>
    </row>
    <row r="41" ht="15" customHeight="1" s="48">
      <c r="A41" s="72" t="inlineStr">
        <is>
          <t>P27</t>
        </is>
      </c>
      <c r="B41" s="95" t="inlineStr">
        <is>
          <t>Sol moale sub platforma</t>
        </is>
      </c>
      <c r="C41" s="95" t="inlineStr">
        <is>
          <t>scoarta / nisip</t>
        </is>
      </c>
      <c r="D41" s="97" t="inlineStr">
        <is>
          <t>~5 m²</t>
        </is>
      </c>
      <c r="E41" s="97" t="inlineStr">
        <is>
          <t>1 lot</t>
        </is>
      </c>
      <c r="F41" s="74" t="inlineStr">
        <is>
          <t>NOU</t>
        </is>
      </c>
      <c r="G41" s="94" t="inlineStr">
        <is>
          <t>oricare</t>
        </is>
      </c>
      <c r="H41" s="95" t="inlineStr">
        <is>
          <t>Amortizare cadere. NU beton/piatra dedesubt.</t>
        </is>
      </c>
    </row>
    <row r="42" ht="15" customHeight="1" s="48"/>
    <row r="43" ht="15" customHeight="1" s="48">
      <c r="A43" s="76" t="inlineStr">
        <is>
          <t>Note:</t>
        </is>
      </c>
    </row>
    <row r="44" ht="15" customHeight="1" s="48">
      <c r="A44" s="80" t="inlineStr">
        <is>
          <t>Ancorele de fundatie sunt deja in pamant → nu cumparam suporti de stalp. Cantitatile de dusumea/sipci/placaj sunt estimate; le confirmam la magazin dupa sectiunile finale de scandura.</t>
        </is>
      </c>
    </row>
  </sheetData>
  <mergeCells count="12">
    <mergeCell ref="A21:H21"/>
    <mergeCell ref="A5:H5"/>
    <mergeCell ref="A29:H29"/>
    <mergeCell ref="A25:H25"/>
    <mergeCell ref="A43:H43"/>
    <mergeCell ref="A2:H2"/>
    <mergeCell ref="A13:H13"/>
    <mergeCell ref="A11:H11"/>
    <mergeCell ref="A1:H1"/>
    <mergeCell ref="A37:H37"/>
    <mergeCell ref="A32:H32"/>
    <mergeCell ref="A17:H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3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5" customWidth="1" style="47" min="1" max="1"/>
    <col width="40" customWidth="1" style="47" min="2" max="2"/>
    <col width="11" customWidth="1" style="47" min="3" max="3"/>
    <col width="13" customWidth="1" style="47" min="4" max="4"/>
    <col width="6" customWidth="1" style="47" min="5" max="5"/>
    <col width="5" customWidth="1" style="47" min="6" max="6"/>
    <col width="11" customWidth="1" style="47" min="7" max="7"/>
    <col width="40" customWidth="1" style="47" min="8" max="8"/>
    <col width="14" customWidth="1" style="47" min="9" max="9"/>
  </cols>
  <sheetData>
    <row r="1" ht="27.75" customHeight="1" s="48">
      <c r="A1" s="81" t="inlineStr">
        <is>
          <t>CASUTA DIN COPAC  ·  Materiale PREMIUM — Faza platforma (stalpi + podea + scara)</t>
        </is>
      </c>
    </row>
    <row r="2" ht="15" customHeight="1" s="48">
      <c r="A2" s="50" t="inlineStr">
        <is>
          <t>Sursa: HORNBACH (preferinta 1) + papuc/joiste Leroy. Grinzi glulam · suruburi Heco · grinda spate pe POLITA + M12 · baza pe papuc U · scara inclusa.  ·  COMANDA platforma plasata 09.06.2026 (4101,24 lei cu livrare).</t>
        </is>
      </c>
    </row>
    <row r="3"/>
    <row r="4" ht="25.5" customHeight="1" s="48">
      <c r="A4" s="57" t="inlineStr">
        <is>
          <t>Categorie</t>
        </is>
      </c>
      <c r="B4" s="57" t="inlineStr">
        <is>
          <t>Produs premium</t>
        </is>
      </c>
      <c r="C4" s="57" t="inlineStr">
        <is>
          <t>Magazin</t>
        </is>
      </c>
      <c r="D4" s="57" t="inlineStr">
        <is>
          <t>Pret unit. (lei)</t>
        </is>
      </c>
      <c r="E4" s="57" t="inlineStr">
        <is>
          <t>Cant</t>
        </is>
      </c>
      <c r="F4" s="57" t="inlineStr">
        <is>
          <t>UM</t>
        </is>
      </c>
      <c r="G4" s="57" t="inlineStr">
        <is>
          <t>Total</t>
        </is>
      </c>
      <c r="H4" s="57" t="inlineStr">
        <is>
          <t>Rol / imbinare</t>
        </is>
      </c>
      <c r="I4" s="57" t="inlineStr">
        <is>
          <t>Stoc</t>
        </is>
      </c>
    </row>
    <row r="5" ht="16.5" customHeight="1" s="48">
      <c r="A5" s="82" t="inlineStr">
        <is>
          <t>STRUCTURA</t>
        </is>
      </c>
      <c r="B5" s="83" t="n"/>
      <c r="C5" s="83" t="n"/>
      <c r="D5" s="83" t="n"/>
      <c r="E5" s="83" t="n"/>
      <c r="F5" s="83" t="n"/>
      <c r="G5" s="83" t="n"/>
      <c r="H5" s="83" t="n"/>
      <c r="I5" s="84" t="n"/>
    </row>
    <row r="6" ht="15" customHeight="1" s="48">
      <c r="A6" s="94" t="inlineStr">
        <is>
          <t>Stalpi</t>
        </is>
      </c>
      <c r="B6" s="95" t="inlineStr">
        <is>
          <t>Stalpi KVH 100×100×4000 (AVEM)</t>
        </is>
      </c>
      <c r="C6" s="94" t="inlineStr">
        <is>
          <t>Hornbach</t>
        </is>
      </c>
      <c r="D6" s="88" t="n">
        <v>149</v>
      </c>
      <c r="E6" s="60" t="n">
        <v>4</v>
      </c>
      <c r="F6" s="94" t="inlineStr">
        <is>
          <t>buc</t>
        </is>
      </c>
      <c r="G6" s="62">
        <f>IF(AND(D6&lt;&gt;"",E6&lt;&gt;""),D6*E6,"")</f>
        <v/>
      </c>
      <c r="H6" s="95" t="inlineStr">
        <is>
          <t>Stalpi spate (4m) + fata (taiati 1872)</t>
        </is>
      </c>
      <c r="I6" s="96" t="inlineStr">
        <is>
          <t>AVEM</t>
        </is>
      </c>
    </row>
    <row r="7" ht="15" customHeight="1" s="48">
      <c r="A7" s="94" t="inlineStr">
        <is>
          <t>Baza</t>
        </is>
      </c>
      <c r="B7" s="95" t="inlineStr">
        <is>
          <t>Papuc reazem U 101×100, otel 4 mm (in beton)</t>
        </is>
      </c>
      <c r="C7" s="94" t="inlineStr">
        <is>
          <t>Leroy</t>
        </is>
      </c>
      <c r="D7" s="88" t="n">
        <v>19.69</v>
      </c>
      <c r="E7" s="60" t="n">
        <v>4</v>
      </c>
      <c r="F7" s="94" t="inlineStr">
        <is>
          <t>buc</t>
        </is>
      </c>
      <c r="G7" s="62">
        <f>IF(AND(D7&lt;&gt;"",E7&lt;&gt;""),D7*E7,"")</f>
        <v/>
      </c>
      <c r="H7" s="95" t="inlineStr">
        <is>
          <t>Baza stalpilor; stalpul intra in U</t>
        </is>
      </c>
      <c r="I7" s="96" t="inlineStr">
        <is>
          <t>AVEM</t>
        </is>
      </c>
    </row>
    <row r="8" ht="15" customHeight="1" s="48">
      <c r="A8" s="94" t="inlineStr">
        <is>
          <t>Baza</t>
        </is>
      </c>
      <c r="B8" s="95" t="inlineStr">
        <is>
          <t>Buloane M12×180 + piulita + saiba</t>
        </is>
      </c>
      <c r="C8" s="94" t="inlineStr">
        <is>
          <t>Hornbach</t>
        </is>
      </c>
      <c r="D8" s="88" t="n">
        <v>7</v>
      </c>
      <c r="E8" s="60" t="n">
        <v>12</v>
      </c>
      <c r="F8" s="94" t="inlineStr">
        <is>
          <t>buc</t>
        </is>
      </c>
      <c r="G8" s="62">
        <f>IF(AND(D8&lt;&gt;"",E8&lt;&gt;""),D8*E8,"")</f>
        <v/>
      </c>
      <c r="H8" s="95" t="inlineStr">
        <is>
          <t>4x polita grinda spate (din tija M12 taiata) + 8x baza stalpi (2/papuc); piulite + saibe</t>
        </is>
      </c>
      <c r="I8" s="74" t="inlineStr">
        <is>
          <t>De cumparat</t>
        </is>
      </c>
    </row>
    <row r="9" ht="15" customHeight="1" s="48">
      <c r="A9" s="94" t="inlineStr">
        <is>
          <t>Joiste</t>
        </is>
      </c>
      <c r="B9" s="95" t="inlineStr">
        <is>
          <t>Grinda 100×100×4000 (AVEM)</t>
        </is>
      </c>
      <c r="C9" s="94" t="inlineStr">
        <is>
          <t>Leroy</t>
        </is>
      </c>
      <c r="D9" s="88" t="n">
        <v>86.98999999999999</v>
      </c>
      <c r="E9" s="60" t="n">
        <v>4</v>
      </c>
      <c r="F9" s="94" t="inlineStr">
        <is>
          <t>buc</t>
        </is>
      </c>
      <c r="G9" s="62">
        <f>IF(AND(D9&lt;&gt;"",E9&lt;&gt;""),D9*E9,"")</f>
        <v/>
      </c>
      <c r="H9" s="95" t="inlineStr">
        <is>
          <t>Joiste podea fata-spate (consola 700)</t>
        </is>
      </c>
      <c r="I9" s="96" t="inlineStr">
        <is>
          <t>AVEM</t>
        </is>
      </c>
    </row>
    <row r="10" ht="15" customHeight="1" s="48">
      <c r="A10" s="94" t="inlineStr">
        <is>
          <t>Joiste</t>
        </is>
      </c>
      <c r="B10" s="95" t="inlineStr">
        <is>
          <t>KVH 100×100×4000 — inca 2 joiste</t>
        </is>
      </c>
      <c r="C10" s="94" t="inlineStr">
        <is>
          <t>Hornbach</t>
        </is>
      </c>
      <c r="D10" s="88" t="n">
        <v>149</v>
      </c>
      <c r="E10" s="60" t="n">
        <v>2</v>
      </c>
      <c r="F10" s="94" t="inlineStr">
        <is>
          <t>buc</t>
        </is>
      </c>
      <c r="G10" s="62">
        <f>IF(AND(D10&lt;&gt;"",E10&lt;&gt;""),D10*E10,"")</f>
        <v/>
      </c>
      <c r="H10" s="95" t="inlineStr">
        <is>
          <t>Completare la 6 joiste (interax ~430)</t>
        </is>
      </c>
      <c r="I10" s="74" t="inlineStr">
        <is>
          <t>De cumparat</t>
        </is>
      </c>
    </row>
    <row r="11" ht="15" customHeight="1" s="48">
      <c r="A11" s="94" t="inlineStr">
        <is>
          <t>Grinzi</t>
        </is>
      </c>
      <c r="B11" s="95" t="inlineStr">
        <is>
          <t>Grinda lamelara Glulam 90×200×4000</t>
        </is>
      </c>
      <c r="C11" s="94" t="inlineStr">
        <is>
          <t>Hornbach</t>
        </is>
      </c>
      <c r="D11" s="88" t="n">
        <v>479</v>
      </c>
      <c r="E11" s="60" t="n">
        <v>2</v>
      </c>
      <c r="F11" s="94" t="inlineStr">
        <is>
          <t>buc</t>
        </is>
      </c>
      <c r="G11" s="62">
        <f>IF(AND(D11&lt;&gt;"",E11&lt;&gt;""),D11*E11,"")</f>
        <v/>
      </c>
      <c r="H11" s="95" t="inlineStr">
        <is>
          <t>Grinzi principale; fata pe varf, spate pe POLITA</t>
        </is>
      </c>
      <c r="I11" s="74" t="inlineStr">
        <is>
          <t>De cumparat</t>
        </is>
      </c>
    </row>
    <row r="12" ht="15" customHeight="1" s="48">
      <c r="A12" s="94" t="inlineStr">
        <is>
          <t>Grinzi</t>
        </is>
      </c>
      <c r="B12" s="95" t="inlineStr">
        <is>
          <t>Polita lemn (din offcut 100×100)</t>
        </is>
      </c>
      <c r="C12" s="94" t="inlineStr">
        <is>
          <t>-</t>
        </is>
      </c>
      <c r="D12" s="88" t="n">
        <v>0</v>
      </c>
      <c r="E12" s="60" t="n">
        <v>2</v>
      </c>
      <c r="F12" s="94" t="inlineStr">
        <is>
          <t>buc</t>
        </is>
      </c>
      <c r="G12" s="62">
        <f>IF(AND(D12&lt;&gt;"",E12&lt;&gt;""),D12*E12,"")</f>
        <v/>
      </c>
      <c r="H12" s="95" t="inlineStr">
        <is>
          <t>Sub grinda spate, bulonata cu M12</t>
        </is>
      </c>
      <c r="I12" s="96" t="inlineStr">
        <is>
          <t>OFFCUT</t>
        </is>
      </c>
    </row>
    <row r="13" ht="16.5" customHeight="1" s="48">
      <c r="A13" s="82" t="inlineStr">
        <is>
          <t>PODEA</t>
        </is>
      </c>
      <c r="B13" s="83" t="n"/>
      <c r="C13" s="83" t="n"/>
      <c r="D13" s="83" t="n"/>
      <c r="E13" s="83" t="n"/>
      <c r="F13" s="83" t="n"/>
      <c r="G13" s="83" t="n"/>
      <c r="H13" s="83" t="n"/>
      <c r="I13" s="84" t="n"/>
    </row>
    <row r="14" ht="15" customHeight="1" s="48">
      <c r="A14" s="94" t="inlineStr">
        <is>
          <t>Dusumea</t>
        </is>
      </c>
      <c r="B14" s="95" t="inlineStr">
        <is>
          <t>Lemn terasa larice Konsta 28×145×3000</t>
        </is>
      </c>
      <c r="C14" s="94" t="inlineStr">
        <is>
          <t>Hornbach</t>
        </is>
      </c>
      <c r="D14" s="88" t="n">
        <v>79.90000000000001</v>
      </c>
      <c r="E14" s="60" t="n">
        <v>17</v>
      </c>
      <c r="F14" s="94" t="inlineStr">
        <is>
          <t>buc</t>
        </is>
      </c>
      <c r="G14" s="62">
        <f>IF(AND(D14&lt;&gt;"",E14&lt;&gt;""),D14*E14,"")</f>
        <v/>
      </c>
      <c r="H14" s="95" t="inlineStr">
        <is>
          <t>Dusumea premium 28mm</t>
        </is>
      </c>
      <c r="I14" s="74" t="inlineStr">
        <is>
          <t>De cumparat</t>
        </is>
      </c>
    </row>
    <row r="15" ht="16.5" customHeight="1" s="48">
      <c r="A15" s="82" t="inlineStr">
        <is>
          <t>IMBINARI</t>
        </is>
      </c>
      <c r="B15" s="83" t="n"/>
      <c r="C15" s="83" t="n"/>
      <c r="D15" s="83" t="n"/>
      <c r="E15" s="83" t="n"/>
      <c r="F15" s="83" t="n"/>
      <c r="G15" s="83" t="n"/>
      <c r="H15" s="83" t="n"/>
      <c r="I15" s="84" t="n"/>
    </row>
    <row r="16" ht="15" customHeight="1" s="48">
      <c r="A16" s="94" t="inlineStr">
        <is>
          <t>Conectori</t>
        </is>
      </c>
      <c r="B16" s="95" t="inlineStr">
        <is>
          <t>Coltar rigidizat Alberts 100×100×90×3</t>
        </is>
      </c>
      <c r="C16" s="94" t="inlineStr">
        <is>
          <t>Hornbach</t>
        </is>
      </c>
      <c r="D16" s="88" t="n">
        <v>9.35</v>
      </c>
      <c r="E16" s="60" t="n">
        <v>4</v>
      </c>
      <c r="F16" s="94" t="inlineStr">
        <is>
          <t>buc</t>
        </is>
      </c>
      <c r="G16" s="62">
        <f>IF(AND(D16&lt;&gt;"",E16&lt;&gt;""),D16*E16,"")</f>
        <v/>
      </c>
      <c r="H16" s="95" t="inlineStr">
        <is>
          <t>Grinda FATA → stalp (pe varf)</t>
        </is>
      </c>
      <c r="I16" s="74" t="inlineStr">
        <is>
          <t>De cumparat</t>
        </is>
      </c>
    </row>
    <row r="17" ht="15" customHeight="1" s="48">
      <c r="A17" s="94" t="inlineStr">
        <is>
          <t>Conectori</t>
        </is>
      </c>
      <c r="B17" s="95" t="inlineStr">
        <is>
          <t>Coltar rigidizat Alberts 90×90×65</t>
        </is>
      </c>
      <c r="C17" s="94" t="inlineStr">
        <is>
          <t>Hornbach</t>
        </is>
      </c>
      <c r="D17" s="88" t="n">
        <v>4.83</v>
      </c>
      <c r="E17" s="60" t="n">
        <v>14</v>
      </c>
      <c r="F17" s="94" t="inlineStr">
        <is>
          <t>buc</t>
        </is>
      </c>
      <c r="G17" s="62">
        <f>IF(AND(D17&lt;&gt;"",E17&lt;&gt;""),D17*E17,"")</f>
        <v/>
      </c>
      <c r="H17" s="95" t="inlineStr">
        <is>
          <t>Joiste → grinda + grinda spate, anti-ridicare (12+2=14)</t>
        </is>
      </c>
      <c r="I17" s="74" t="inlineStr">
        <is>
          <t>De cumparat</t>
        </is>
      </c>
    </row>
    <row r="18" ht="15" customHeight="1" s="48">
      <c r="A18" s="94" t="inlineStr">
        <is>
          <t>Suruburi</t>
        </is>
      </c>
      <c r="B18" s="95" t="inlineStr">
        <is>
          <t>Heco Topix-Plus 8×200 Torx (100 buc)</t>
        </is>
      </c>
      <c r="C18" s="94" t="inlineStr">
        <is>
          <t>Hornbach</t>
        </is>
      </c>
      <c r="D18" s="88" t="n">
        <v>369.1</v>
      </c>
      <c r="E18" s="60" t="n">
        <v>1</v>
      </c>
      <c r="F18" s="94" t="inlineStr">
        <is>
          <t>pac</t>
        </is>
      </c>
      <c r="G18" s="62">
        <f>IF(AND(D18&lt;&gt;"",E18&lt;&gt;""),D18*E18,"")</f>
        <v/>
      </c>
      <c r="H18" s="95" t="inlineStr">
        <is>
          <t>Imbinari structurale, fara pre-gaurire</t>
        </is>
      </c>
      <c r="I18" s="74" t="inlineStr">
        <is>
          <t>De cumparat</t>
        </is>
      </c>
    </row>
    <row r="19" ht="15" customHeight="1" s="48">
      <c r="A19" s="94" t="inlineStr">
        <is>
          <t>Suruburi</t>
        </is>
      </c>
      <c r="B19" s="95" t="inlineStr">
        <is>
          <t>Heco Topix-Plus 6x100 zincat (100 buc)</t>
        </is>
      </c>
      <c r="C19" s="94" t="inlineStr">
        <is>
          <t>Hornbach</t>
        </is>
      </c>
      <c r="D19" s="88" t="n">
        <v>94.87</v>
      </c>
      <c r="E19" s="60" t="n">
        <v>1</v>
      </c>
      <c r="F19" s="94" t="inlineStr">
        <is>
          <t>pac</t>
        </is>
      </c>
      <c r="G19" s="62">
        <f>IF(AND(D19&lt;&gt;"",E19&lt;&gt;""),D19*E19,"")</f>
        <v/>
      </c>
      <c r="H19" s="95" t="inlineStr">
        <is>
          <t>Coltare, conectori</t>
        </is>
      </c>
      <c r="I19" s="74" t="inlineStr">
        <is>
          <t>De cumparat</t>
        </is>
      </c>
    </row>
    <row r="20" ht="15" customHeight="1" s="48">
      <c r="A20" s="94" t="inlineStr">
        <is>
          <t>Suruburi</t>
        </is>
      </c>
      <c r="B20" s="95" t="inlineStr">
        <is>
          <t>Heco Topix-Plus 6×80 (100 buc)</t>
        </is>
      </c>
      <c r="C20" s="94" t="inlineStr">
        <is>
          <t>Hornbach</t>
        </is>
      </c>
      <c r="D20" s="88" t="n">
        <v>72.8</v>
      </c>
      <c r="E20" s="60" t="n">
        <v>1</v>
      </c>
      <c r="F20" s="94" t="inlineStr">
        <is>
          <t>pac</t>
        </is>
      </c>
      <c r="G20" s="62">
        <f>IF(AND(D20&lt;&gt;"",E20&lt;&gt;""),D20*E20,"")</f>
        <v/>
      </c>
      <c r="H20" s="95" t="inlineStr">
        <is>
          <t>Blocaje, prinderi generale</t>
        </is>
      </c>
      <c r="I20" s="74" t="inlineStr">
        <is>
          <t>De cumparat</t>
        </is>
      </c>
    </row>
    <row r="21" ht="15" customHeight="1" s="48">
      <c r="A21" s="94" t="inlineStr">
        <is>
          <t>Suruburi</t>
        </is>
      </c>
      <c r="B21" s="95" t="inlineStr">
        <is>
          <t>Suruburi inox A2 5x60 dusumea (100 buc)</t>
        </is>
      </c>
      <c r="C21" s="94" t="inlineStr">
        <is>
          <t>Hornbach</t>
        </is>
      </c>
      <c r="D21" s="88" t="n">
        <v>55.82</v>
      </c>
      <c r="E21" s="60" t="n">
        <v>3</v>
      </c>
      <c r="F21" s="94" t="inlineStr">
        <is>
          <t>pac</t>
        </is>
      </c>
      <c r="G21" s="62">
        <f>IF(AND(D21&lt;&gt;"",E21&lt;&gt;""),D21*E21,"")</f>
        <v/>
      </c>
      <c r="H21" s="95" t="inlineStr">
        <is>
          <t>Prindere dusumea larice</t>
        </is>
      </c>
      <c r="I21" s="72" t="inlineStr">
        <is>
          <t>De cumparat</t>
        </is>
      </c>
    </row>
    <row r="22" ht="16.5" customHeight="1" s="48">
      <c r="A22" s="82" t="inlineStr">
        <is>
          <t>SCARA</t>
        </is>
      </c>
      <c r="B22" s="83" t="n"/>
      <c r="C22" s="83" t="n"/>
      <c r="D22" s="83" t="n"/>
      <c r="E22" s="83" t="n"/>
      <c r="F22" s="83" t="n"/>
      <c r="G22" s="83" t="n"/>
      <c r="H22" s="83" t="n"/>
      <c r="I22" s="84" t="n"/>
    </row>
    <row r="23" ht="15" customHeight="1" s="48">
      <c r="A23" s="94" t="inlineStr">
        <is>
          <t>Scara</t>
        </is>
      </c>
      <c r="B23" s="95" t="inlineStr">
        <is>
          <t>Coarde scara KVH 60×140×3000</t>
        </is>
      </c>
      <c r="C23" s="94" t="inlineStr">
        <is>
          <t>Hornbach</t>
        </is>
      </c>
      <c r="D23" s="88" t="n">
        <v>130</v>
      </c>
      <c r="E23" s="60" t="n">
        <v>2</v>
      </c>
      <c r="F23" s="94" t="inlineStr">
        <is>
          <t>buc</t>
        </is>
      </c>
      <c r="G23" s="62">
        <f>IF(AND(D23&lt;&gt;"",E23&lt;&gt;""),D23*E23,"")</f>
        <v/>
      </c>
      <c r="H23" s="95" t="inlineStr">
        <is>
          <t>Cele 2 grinzi inclinate (~2,9 m)</t>
        </is>
      </c>
      <c r="I23" s="72" t="inlineStr">
        <is>
          <t>De cumparat (est.)</t>
        </is>
      </c>
    </row>
    <row r="24" ht="15" customHeight="1" s="48">
      <c r="A24" s="94" t="inlineStr">
        <is>
          <t>Scara</t>
        </is>
      </c>
      <c r="B24" s="95" t="inlineStr">
        <is>
          <t>Trepte larice/dulap 45×190 ~600 mm</t>
        </is>
      </c>
      <c r="C24" s="94" t="inlineStr">
        <is>
          <t>Hornbach</t>
        </is>
      </c>
      <c r="D24" s="88" t="n">
        <v>25</v>
      </c>
      <c r="E24" s="60" t="n">
        <v>10</v>
      </c>
      <c r="F24" s="94" t="inlineStr">
        <is>
          <t>buc</t>
        </is>
      </c>
      <c r="G24" s="62">
        <f>IF(AND(D24&lt;&gt;"",E24&lt;&gt;""),D24*E24,"")</f>
        <v/>
      </c>
      <c r="H24" s="95" t="inlineStr">
        <is>
          <t>10 trepte (11 niveluri) (riser 200, calcai 190)</t>
        </is>
      </c>
      <c r="I24" s="72" t="inlineStr">
        <is>
          <t>De cumparat (est.)</t>
        </is>
      </c>
    </row>
    <row r="25" ht="15" customHeight="1" s="48">
      <c r="A25" s="94" t="inlineStr">
        <is>
          <t>Scara</t>
        </is>
      </c>
      <c r="B25" s="95" t="inlineStr">
        <is>
          <t>Mana curenta + stalpisori (lemn)</t>
        </is>
      </c>
      <c r="C25" s="94" t="inlineStr">
        <is>
          <t>Hornbach</t>
        </is>
      </c>
      <c r="D25" s="88" t="n">
        <v>120</v>
      </c>
      <c r="E25" s="60" t="n">
        <v>1</v>
      </c>
      <c r="F25" s="94" t="inlineStr">
        <is>
          <t>set</t>
        </is>
      </c>
      <c r="G25" s="62">
        <f>IF(AND(D25&lt;&gt;"",E25&lt;&gt;""),D25*E25,"")</f>
        <v/>
      </c>
      <c r="H25" s="95" t="inlineStr">
        <is>
          <t>Pe ambele parti</t>
        </is>
      </c>
      <c r="I25" s="72" t="inlineStr">
        <is>
          <t>De cumparat (est.)</t>
        </is>
      </c>
    </row>
    <row r="26" ht="15" customHeight="1" s="48">
      <c r="A26" s="94" t="inlineStr">
        <is>
          <t>Scara</t>
        </is>
      </c>
      <c r="B26" s="95" t="inlineStr">
        <is>
          <t>Feronerie scara (coltare + Heco + 2× M10)</t>
        </is>
      </c>
      <c r="C26" s="94" t="inlineStr">
        <is>
          <t>Hornbach</t>
        </is>
      </c>
      <c r="D26" s="88" t="n">
        <v>80</v>
      </c>
      <c r="E26" s="60" t="n">
        <v>1</v>
      </c>
      <c r="F26" s="94" t="inlineStr">
        <is>
          <t>set</t>
        </is>
      </c>
      <c r="G26" s="62">
        <f>IF(AND(D26&lt;&gt;"",E26&lt;&gt;""),D26*E26,"")</f>
        <v/>
      </c>
      <c r="H26" s="95" t="inlineStr">
        <is>
          <t>Prindere de platforma + trepte</t>
        </is>
      </c>
      <c r="I26" s="72" t="inlineStr">
        <is>
          <t>De cumparat (est.)</t>
        </is>
      </c>
    </row>
    <row r="27" ht="15" customHeight="1" s="48">
      <c r="A27" s="94" t="inlineStr">
        <is>
          <t>Scara</t>
        </is>
      </c>
      <c r="B27" s="95" t="inlineStr">
        <is>
          <t>Dala/paver baza scara</t>
        </is>
      </c>
      <c r="C27" s="94" t="inlineStr">
        <is>
          <t>Hornbach</t>
        </is>
      </c>
      <c r="D27" s="88" t="n">
        <v>20</v>
      </c>
      <c r="E27" s="60" t="n">
        <v>1</v>
      </c>
      <c r="F27" s="94" t="inlineStr">
        <is>
          <t>buc</t>
        </is>
      </c>
      <c r="G27" s="62">
        <f>IF(AND(D27&lt;&gt;"",E27&lt;&gt;""),D27*E27,"")</f>
        <v/>
      </c>
      <c r="H27" s="95" t="inlineStr">
        <is>
          <t>Sub coarde, sa nu stea in pamant</t>
        </is>
      </c>
      <c r="I27" s="72" t="inlineStr">
        <is>
          <t>De cumparat (est.)</t>
        </is>
      </c>
    </row>
    <row r="28" ht="16.5" customHeight="1" s="48">
      <c r="A28" s="82" t="inlineStr">
        <is>
          <t>FINISAJ</t>
        </is>
      </c>
      <c r="B28" s="83" t="n"/>
      <c r="C28" s="83" t="n"/>
      <c r="D28" s="83" t="n"/>
      <c r="E28" s="83" t="n"/>
      <c r="F28" s="83" t="n"/>
      <c r="G28" s="83" t="n"/>
      <c r="H28" s="83" t="n"/>
      <c r="I28" s="84" t="n"/>
    </row>
    <row r="29" ht="15" customHeight="1" s="48">
      <c r="A29" s="94" t="inlineStr">
        <is>
          <t>Finisaj</t>
        </is>
      </c>
      <c r="B29" s="95" t="inlineStr">
        <is>
          <t>Ulei lemn tec Hornbach Plus 2,5 l</t>
        </is>
      </c>
      <c r="C29" s="94" t="inlineStr">
        <is>
          <t>Hornbach</t>
        </is>
      </c>
      <c r="D29" s="88" t="n">
        <v>144.39</v>
      </c>
      <c r="E29" s="60" t="n">
        <v>2</v>
      </c>
      <c r="F29" s="94" t="inlineStr">
        <is>
          <t>buc</t>
        </is>
      </c>
      <c r="G29" s="62">
        <f>IF(AND(D29&lt;&gt;"",E29&lt;&gt;""),D29*E29,"")</f>
        <v/>
      </c>
      <c r="H29" s="95" t="inlineStr">
        <is>
          <t>Dusumea larice + grinzi/scara expuse</t>
        </is>
      </c>
      <c r="I29" s="74" t="inlineStr">
        <is>
          <t>De cumparat</t>
        </is>
      </c>
    </row>
    <row r="30" ht="15" customHeight="1" s="48">
      <c r="A30" s="94" t="inlineStr">
        <is>
          <t>Finisaj</t>
        </is>
      </c>
      <c r="B30" s="95" t="inlineStr">
        <is>
          <t>Grund impregnare Köber 4 L (AVEM)</t>
        </is>
      </c>
      <c r="C30" s="94" t="inlineStr">
        <is>
          <t>Hornbach</t>
        </is>
      </c>
      <c r="D30" s="88" t="n">
        <v>0</v>
      </c>
      <c r="E30" s="60" t="n">
        <v>1</v>
      </c>
      <c r="F30" s="94" t="inlineStr">
        <is>
          <t>buc</t>
        </is>
      </c>
      <c r="G30" s="62">
        <f>IF(AND(D30&lt;&gt;"",E30&lt;&gt;""),D30*E30,"")</f>
        <v/>
      </c>
      <c r="H30" s="95" t="inlineStr">
        <is>
          <t>Stalpi + joiste + capete</t>
        </is>
      </c>
      <c r="I30" s="72" t="inlineStr">
        <is>
          <t>AVEM</t>
        </is>
      </c>
    </row>
    <row r="31"/>
    <row r="32" ht="15" customHeight="1" s="48">
      <c r="F32" s="89" t="inlineStr">
        <is>
          <t>TOTAL platforma:</t>
        </is>
      </c>
      <c r="G32" s="90">
        <f>SUM(G5:G30)</f>
        <v/>
      </c>
    </row>
    <row r="33" ht="15" customHeight="1" s="48">
      <c r="F33" s="76" t="inlineStr">
        <is>
          <t>din care DE CUMPARAT:</t>
        </is>
      </c>
      <c r="G33" s="91">
        <f>SUMIF(I5:I30,"De cumparat*",G5:G30)</f>
        <v/>
      </c>
    </row>
    <row r="34"/>
    <row r="35" ht="15" customHeight="1" s="48">
      <c r="A35" s="80" t="inlineStr">
        <is>
          <t>Scara: 10 trepte (11 niveluri), riser 200 / calcai 190, ~49°, latime 600, mana curenta pe ambele parti, poarta la S3 (opus mesei de pe S4). Preturi 'est.' = de confirmat la magazin.</t>
        </is>
      </c>
    </row>
  </sheetData>
  <mergeCells count="8">
    <mergeCell ref="A15:I15"/>
    <mergeCell ref="A2:I2"/>
    <mergeCell ref="A5:I5"/>
    <mergeCell ref="A28:I28"/>
    <mergeCell ref="A13:I13"/>
    <mergeCell ref="A1:I1"/>
    <mergeCell ref="A22:I22"/>
    <mergeCell ref="A35:I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4" customWidth="1" style="47" min="1" max="1"/>
    <col width="13" customWidth="1" style="47" min="2" max="3"/>
    <col width="6" customWidth="1" style="47" min="4" max="4"/>
    <col width="12" customWidth="1" style="47" min="5" max="5"/>
    <col width="16" customWidth="1" style="47" min="6" max="6"/>
    <col width="11" customWidth="1" style="47" min="7" max="7"/>
  </cols>
  <sheetData>
    <row r="1" ht="27.75" customHeight="1" s="48">
      <c r="A1" s="81" t="inlineStr">
        <is>
          <t>CASUTA DIN COPAC  ·  COMANDA HORNBACH (in cos)</t>
        </is>
      </c>
    </row>
    <row r="2" ht="15" customHeight="1" s="48">
      <c r="A2" s="50" t="inlineStr">
        <is>
          <t>COMANDA PLASATA 09.06.2026 · 14 produse · subtotal 3886,24 + livrare 215 = 4101,24 lei. Coloana 'Cod piesa' leaga de catalogul de piese.</t>
        </is>
      </c>
    </row>
    <row r="4" ht="24" customHeight="1" s="48">
      <c r="A4" s="57" t="inlineStr">
        <is>
          <t>Produs (Hornbach)</t>
        </is>
      </c>
      <c r="B4" s="57" t="inlineStr">
        <is>
          <t>Cod produs</t>
        </is>
      </c>
      <c r="C4" s="57" t="inlineStr">
        <is>
          <t>Pret unit. (lei)</t>
        </is>
      </c>
      <c r="D4" s="57" t="inlineStr">
        <is>
          <t>Cant</t>
        </is>
      </c>
      <c r="E4" s="57" t="inlineStr">
        <is>
          <t>Total</t>
        </is>
      </c>
      <c r="F4" s="57" t="inlineStr">
        <is>
          <t>Status</t>
        </is>
      </c>
      <c r="G4" s="57" t="inlineStr">
        <is>
          <t>Cod piesa</t>
        </is>
      </c>
    </row>
    <row r="5" ht="16.5" customHeight="1" s="48">
      <c r="A5" s="82" t="inlineStr">
        <is>
          <t>COMANDAT (09.06.2026)</t>
        </is>
      </c>
      <c r="B5" s="83" t="n"/>
      <c r="C5" s="83" t="n"/>
      <c r="D5" s="83" t="n"/>
      <c r="E5" s="83" t="n"/>
      <c r="F5" s="83" t="n"/>
      <c r="G5" s="84" t="n"/>
    </row>
    <row r="6" ht="15" customHeight="1" s="48">
      <c r="A6" s="95" t="inlineStr">
        <is>
          <t>Grinda lamelara Glulam 90×200×4000</t>
        </is>
      </c>
      <c r="B6" s="94" t="inlineStr">
        <is>
          <t>5483835</t>
        </is>
      </c>
      <c r="C6" s="88" t="n">
        <v>479</v>
      </c>
      <c r="D6" s="60" t="n">
        <v>2</v>
      </c>
      <c r="E6" s="62">
        <f>C6*D6</f>
        <v/>
      </c>
      <c r="F6" s="96" t="inlineStr">
        <is>
          <t>COMANDAT</t>
        </is>
      </c>
      <c r="G6" s="94" t="inlineStr">
        <is>
          <t>GR</t>
        </is>
      </c>
    </row>
    <row r="7" ht="15" customHeight="1" s="48">
      <c r="A7" s="95" t="inlineStr">
        <is>
          <t>KVH 100×100×4000 (joiste in plus)</t>
        </is>
      </c>
      <c r="B7" s="94" t="inlineStr">
        <is>
          <t>7337253</t>
        </is>
      </c>
      <c r="C7" s="88" t="n">
        <v>149</v>
      </c>
      <c r="D7" s="60" t="n">
        <v>2</v>
      </c>
      <c r="E7" s="62">
        <f>C7*D7</f>
        <v/>
      </c>
      <c r="F7" s="96" t="inlineStr">
        <is>
          <t>COMANDAT</t>
        </is>
      </c>
      <c r="G7" s="94" t="inlineStr">
        <is>
          <t>JO</t>
        </is>
      </c>
    </row>
    <row r="8" ht="15" customHeight="1" s="48">
      <c r="A8" s="95" t="inlineStr">
        <is>
          <t>Lemn terasa larice Konsta 28×145×3000</t>
        </is>
      </c>
      <c r="B8" s="94" t="inlineStr">
        <is>
          <t>6224073</t>
        </is>
      </c>
      <c r="C8" s="88" t="n">
        <v>79.90000000000001</v>
      </c>
      <c r="D8" s="60" t="n">
        <v>17</v>
      </c>
      <c r="E8" s="62">
        <f>C8*D8</f>
        <v/>
      </c>
      <c r="F8" s="96" t="inlineStr">
        <is>
          <t>COMANDAT</t>
        </is>
      </c>
      <c r="G8" s="94" t="inlineStr">
        <is>
          <t>DL</t>
        </is>
      </c>
    </row>
    <row r="9" ht="15" customHeight="1" s="48">
      <c r="A9" s="95" t="inlineStr">
        <is>
          <t>Coltar rigidizat Alberts 100×100×90×3</t>
        </is>
      </c>
      <c r="B9" s="94" t="inlineStr">
        <is>
          <t>738965</t>
        </is>
      </c>
      <c r="C9" s="88" t="n">
        <v>9.35</v>
      </c>
      <c r="D9" s="60" t="n">
        <v>4</v>
      </c>
      <c r="E9" s="62">
        <f>C9*D9</f>
        <v/>
      </c>
      <c r="F9" s="96" t="inlineStr">
        <is>
          <t>COMANDAT</t>
        </is>
      </c>
      <c r="G9" s="94" t="inlineStr">
        <is>
          <t>C1</t>
        </is>
      </c>
    </row>
    <row r="10" ht="15" customHeight="1" s="48">
      <c r="A10" s="95" t="inlineStr">
        <is>
          <t>Coltar rigidizat Alberts 90×90×65×2,5</t>
        </is>
      </c>
      <c r="B10" s="94" t="inlineStr">
        <is>
          <t>738910</t>
        </is>
      </c>
      <c r="C10" s="88" t="n">
        <v>4.83</v>
      </c>
      <c r="D10" s="60" t="n">
        <v>14</v>
      </c>
      <c r="E10" s="62">
        <f>C10*D10</f>
        <v/>
      </c>
      <c r="F10" s="96" t="inlineStr">
        <is>
          <t>COMANDAT</t>
        </is>
      </c>
      <c r="G10" s="94" t="inlineStr">
        <is>
          <t>C2</t>
        </is>
      </c>
    </row>
    <row r="11" ht="15" customHeight="1" s="48">
      <c r="A11" s="95" t="inlineStr">
        <is>
          <t>Heco Topix-Plus 8×200 zincat (100 buc)</t>
        </is>
      </c>
      <c r="B11" s="94" t="inlineStr">
        <is>
          <t>10434633</t>
        </is>
      </c>
      <c r="C11" s="88" t="n">
        <v>369.1</v>
      </c>
      <c r="D11" s="60" t="n">
        <v>1</v>
      </c>
      <c r="E11" s="62">
        <f>C11*D11</f>
        <v/>
      </c>
      <c r="F11" s="96" t="inlineStr">
        <is>
          <t>COMANDAT</t>
        </is>
      </c>
      <c r="G11" s="94" t="inlineStr">
        <is>
          <t>H1</t>
        </is>
      </c>
    </row>
    <row r="12" ht="15" customHeight="1" s="48">
      <c r="A12" s="95" t="inlineStr">
        <is>
          <t>Heco Topix-Plus 6×100 ZINCAT albastru (100 buc)</t>
        </is>
      </c>
      <c r="B12" s="94" t="inlineStr">
        <is>
          <t>10434398</t>
        </is>
      </c>
      <c r="C12" s="88" t="n">
        <v>94.87</v>
      </c>
      <c r="D12" s="60" t="n">
        <v>1</v>
      </c>
      <c r="E12" s="62">
        <f>C12*D12</f>
        <v/>
      </c>
      <c r="F12" s="96" t="inlineStr">
        <is>
          <t>COMANDAT</t>
        </is>
      </c>
      <c r="G12" s="94" t="inlineStr">
        <is>
          <t>H2</t>
        </is>
      </c>
    </row>
    <row r="13" ht="15" customHeight="1" s="48">
      <c r="A13" s="95" t="inlineStr">
        <is>
          <t>Heco Topix-Plus 6×80 zincat (100 buc)</t>
        </is>
      </c>
      <c r="B13" s="94" t="inlineStr">
        <is>
          <t>10434139</t>
        </is>
      </c>
      <c r="C13" s="88" t="n">
        <v>72.8</v>
      </c>
      <c r="D13" s="60" t="n">
        <v>1</v>
      </c>
      <c r="E13" s="62">
        <f>C13*D13</f>
        <v/>
      </c>
      <c r="F13" s="96" t="inlineStr">
        <is>
          <t>COMANDAT</t>
        </is>
      </c>
      <c r="G13" s="94" t="inlineStr">
        <is>
          <t>H3</t>
        </is>
      </c>
    </row>
    <row r="14" ht="15" customHeight="1" s="48">
      <c r="A14" s="95" t="inlineStr">
        <is>
          <t>Suruburi terasa inox A2 5×60 (100 buc)</t>
        </is>
      </c>
      <c r="B14" s="94" t="inlineStr">
        <is>
          <t>10528829</t>
        </is>
      </c>
      <c r="C14" s="88" t="n">
        <v>55.82</v>
      </c>
      <c r="D14" s="60" t="n">
        <v>3</v>
      </c>
      <c r="E14" s="62">
        <f>C14*D14</f>
        <v/>
      </c>
      <c r="F14" s="96" t="inlineStr">
        <is>
          <t>COMANDAT</t>
        </is>
      </c>
      <c r="G14" s="94" t="inlineStr">
        <is>
          <t>H4</t>
        </is>
      </c>
    </row>
    <row r="15" ht="15" customHeight="1" s="48">
      <c r="A15" s="95" t="inlineStr">
        <is>
          <t>Surub hexagonal M12×120 inox A2 (25 buc) — baza papuc</t>
        </is>
      </c>
      <c r="B15" s="94" t="inlineStr">
        <is>
          <t>6834285</t>
        </is>
      </c>
      <c r="C15" s="88" t="n">
        <v>161.67</v>
      </c>
      <c r="D15" s="60" t="n">
        <v>1</v>
      </c>
      <c r="E15" s="62">
        <f>C15*D15</f>
        <v/>
      </c>
      <c r="F15" s="96" t="inlineStr">
        <is>
          <t>COMANDAT</t>
        </is>
      </c>
      <c r="G15" s="94" t="inlineStr">
        <is>
          <t>B2</t>
        </is>
      </c>
    </row>
    <row r="16" ht="15" customHeight="1" s="48">
      <c r="A16" s="95" t="inlineStr">
        <is>
          <t>Ulei lemn tec Hornbach Plus 2,5 l (dusumea)</t>
        </is>
      </c>
      <c r="B16" s="94" t="inlineStr">
        <is>
          <t>5509678</t>
        </is>
      </c>
      <c r="C16" s="88" t="n">
        <v>144.39</v>
      </c>
      <c r="D16" s="60" t="n">
        <v>2</v>
      </c>
      <c r="E16" s="62">
        <f>C16*D16</f>
        <v/>
      </c>
      <c r="F16" s="96" t="inlineStr">
        <is>
          <t>COMANDAT</t>
        </is>
      </c>
      <c r="G16" s="94" t="inlineStr">
        <is>
          <t>F1</t>
        </is>
      </c>
    </row>
    <row r="17" ht="16.5" customHeight="1" s="48">
      <c r="A17" s="95" t="inlineStr">
        <is>
          <t>Saibe late M12 13×30 zincat (100 buc)</t>
        </is>
      </c>
      <c r="B17" s="94" t="inlineStr">
        <is>
          <t>3840897</t>
        </is>
      </c>
      <c r="C17" s="88" t="n">
        <v>25.32</v>
      </c>
      <c r="D17" s="60" t="n">
        <v>1</v>
      </c>
      <c r="E17" s="62">
        <f>C17*D17</f>
        <v/>
      </c>
      <c r="F17" s="96" t="inlineStr">
        <is>
          <t>COMANDAT</t>
        </is>
      </c>
      <c r="G17" s="94" t="inlineStr">
        <is>
          <t>B3</t>
        </is>
      </c>
    </row>
    <row r="18" ht="15" customHeight="1" s="48">
      <c r="A18" s="95" t="inlineStr">
        <is>
          <t>Grund: AVEM Köber 4L — scos din cos (era lazura Hornbach)</t>
        </is>
      </c>
      <c r="B18" s="94" t="inlineStr">
        <is>
          <t>-</t>
        </is>
      </c>
      <c r="C18" s="88" t="n">
        <v>0</v>
      </c>
      <c r="D18" s="60" t="n">
        <v>0</v>
      </c>
      <c r="E18" s="62">
        <f>C18*D18</f>
        <v/>
      </c>
      <c r="F18" s="96" t="inlineStr">
        <is>
          <t>AVEM</t>
        </is>
      </c>
      <c r="G18" s="94" t="inlineStr">
        <is>
          <t>F2</t>
        </is>
      </c>
    </row>
    <row r="19" ht="15" customHeight="1" s="48">
      <c r="A19" s="82" t="inlineStr">
        <is>
          <t>DE ADAUGAT (la magazin / alegerea ta)</t>
        </is>
      </c>
      <c r="B19" s="83" t="n"/>
      <c r="C19" s="83" t="n"/>
      <c r="D19" s="83" t="n"/>
      <c r="E19" s="83" t="n"/>
      <c r="F19" s="83" t="n"/>
      <c r="G19" s="84" t="n"/>
    </row>
    <row r="20" ht="15" customHeight="1" s="48">
      <c r="A20" s="95" t="inlineStr">
        <is>
          <t>Tija filetata M12 1m DIN975 8.8 (se taie 4x ~220 pt polita)</t>
        </is>
      </c>
      <c r="B20" s="94" t="inlineStr">
        <is>
          <t>12130958</t>
        </is>
      </c>
      <c r="C20" s="88" t="n">
        <v>13.4</v>
      </c>
      <c r="D20" s="60" t="n">
        <v>1</v>
      </c>
      <c r="E20" s="62">
        <f>C20*D20</f>
        <v/>
      </c>
      <c r="F20" s="96" t="inlineStr">
        <is>
          <t>COMANDAT</t>
        </is>
      </c>
      <c r="G20" s="94" t="inlineStr">
        <is>
          <t>B1</t>
        </is>
      </c>
    </row>
    <row r="21" ht="15" customHeight="1" s="48">
      <c r="A21" s="95" t="inlineStr">
        <is>
          <t>Piulite hexagonale M12 DIN934 zincat (100 buc)</t>
        </is>
      </c>
      <c r="B21" s="94" t="inlineStr">
        <is>
          <t>3830642</t>
        </is>
      </c>
      <c r="C21" s="88" t="n">
        <v>39</v>
      </c>
      <c r="D21" s="60" t="n">
        <v>1</v>
      </c>
      <c r="E21" s="62">
        <f>C21*D21</f>
        <v/>
      </c>
      <c r="F21" s="96" t="inlineStr">
        <is>
          <t>COMANDAT</t>
        </is>
      </c>
      <c r="G21" s="94" t="inlineStr">
        <is>
          <t>B4</t>
        </is>
      </c>
    </row>
    <row r="22" ht="15" customHeight="1" s="48">
      <c r="A22" s="95" t="inlineStr">
        <is>
          <t>Topcoat: lazura colorata / vopsea exterior (culoarea ta)</t>
        </is>
      </c>
      <c r="B22" s="94" t="inlineStr">
        <is>
          <t>-</t>
        </is>
      </c>
      <c r="C22" s="88" t="n">
        <v>170</v>
      </c>
      <c r="D22" s="60" t="n">
        <v>1</v>
      </c>
      <c r="E22" s="62">
        <f>C22*D22</f>
        <v/>
      </c>
      <c r="F22" s="96" t="inlineStr">
        <is>
          <t>de confirmat</t>
        </is>
      </c>
      <c r="G22" s="94" t="inlineStr">
        <is>
          <t>F3</t>
        </is>
      </c>
    </row>
    <row r="23" ht="15" customHeight="1" s="48">
      <c r="A23" s="95" t="inlineStr">
        <is>
          <t>KVH coarde scara ~60×140×3000 (Faza 2)</t>
        </is>
      </c>
      <c r="B23" s="94" t="inlineStr">
        <is>
          <t>-</t>
        </is>
      </c>
      <c r="C23" s="88" t="n">
        <v>130</v>
      </c>
      <c r="D23" s="60" t="n">
        <v>2</v>
      </c>
      <c r="E23" s="62">
        <f>C23*D23</f>
        <v/>
      </c>
      <c r="F23" s="96" t="inlineStr">
        <is>
          <t>de confirmat</t>
        </is>
      </c>
      <c r="G23" s="94" t="inlineStr">
        <is>
          <t>—</t>
        </is>
      </c>
    </row>
    <row r="24" ht="15" customHeight="1" s="48">
      <c r="A24" s="95" t="inlineStr">
        <is>
          <t>Trepte larice/dulap ~45×190, ~600 mm (Faza 2)</t>
        </is>
      </c>
      <c r="B24" s="94" t="inlineStr">
        <is>
          <t>-</t>
        </is>
      </c>
      <c r="C24" s="88" t="n">
        <v>25</v>
      </c>
      <c r="D24" s="60" t="n">
        <v>10</v>
      </c>
      <c r="E24" s="62">
        <f>C24*D24</f>
        <v/>
      </c>
      <c r="F24" s="96" t="inlineStr">
        <is>
          <t>de confirmat</t>
        </is>
      </c>
      <c r="G24" s="94" t="inlineStr">
        <is>
          <t>—</t>
        </is>
      </c>
    </row>
    <row r="25" ht="15" customHeight="1" s="48">
      <c r="A25" s="95" t="inlineStr">
        <is>
          <t>Lemn mana curenta + stalpisori scara (Faza 2)</t>
        </is>
      </c>
      <c r="B25" s="94" t="inlineStr">
        <is>
          <t>-</t>
        </is>
      </c>
      <c r="C25" s="88" t="n">
        <v>120</v>
      </c>
      <c r="D25" s="60" t="n">
        <v>1</v>
      </c>
      <c r="E25" s="62">
        <f>C25*D25</f>
        <v/>
      </c>
      <c r="F25" s="96" t="inlineStr">
        <is>
          <t>de confirmat</t>
        </is>
      </c>
      <c r="G25" s="94" t="inlineStr">
        <is>
          <t>—</t>
        </is>
      </c>
    </row>
    <row r="26" ht="15" customHeight="1" s="48">
      <c r="A26" s="95" t="inlineStr">
        <is>
          <t>Dala/paver baza scara (Faza 2)</t>
        </is>
      </c>
      <c r="B26" s="94" t="inlineStr">
        <is>
          <t>-</t>
        </is>
      </c>
      <c r="C26" s="88" t="n">
        <v>20</v>
      </c>
      <c r="D26" s="60" t="n">
        <v>1</v>
      </c>
      <c r="E26" s="62">
        <f>C26*D26</f>
        <v/>
      </c>
      <c r="F26" s="96" t="inlineStr">
        <is>
          <t>de confirmat</t>
        </is>
      </c>
      <c r="G26" s="94" t="inlineStr">
        <is>
          <t>—</t>
        </is>
      </c>
    </row>
    <row r="27" ht="15" customHeight="1" s="48">
      <c r="A27" s="47" t="inlineStr">
        <is>
          <t>Bulon M10×120 + piulita + saiba — balustrada (Faza 1)</t>
        </is>
      </c>
      <c r="B27" s="47" t="inlineStr">
        <is>
          <t>-</t>
        </is>
      </c>
      <c r="C27" s="47" t="n">
        <v>3.5</v>
      </c>
      <c r="D27" s="92" t="n">
        <v>12</v>
      </c>
      <c r="E27" s="93">
        <f>C27*D27</f>
        <v/>
      </c>
      <c r="F27" s="47" t="inlineStr">
        <is>
          <t>de confirmat</t>
        </is>
      </c>
      <c r="G27" s="47" t="inlineStr">
        <is>
          <t>BM</t>
        </is>
      </c>
    </row>
    <row r="28" ht="15" customHeight="1" s="48">
      <c r="D28" s="92" t="inlineStr">
        <is>
          <t>comandat:</t>
        </is>
      </c>
      <c r="E28" s="93">
        <f>SUMIF(F6:F26,"COMANDAT",E6:E26)</f>
        <v/>
      </c>
    </row>
    <row r="29" ht="15" customHeight="1" s="48">
      <c r="A29" s="80" t="n"/>
      <c r="D29" s="92" t="inlineStr">
        <is>
          <t>+ livrare:</t>
        </is>
      </c>
      <c r="E29" s="93" t="n">
        <v>215</v>
      </c>
    </row>
    <row r="30" ht="15" customHeight="1" s="48">
      <c r="D30" s="92" t="inlineStr">
        <is>
          <t>de adaugat:</t>
        </is>
      </c>
      <c r="E30" s="93">
        <f>SUMIF(F6:F26,"de confirmat",E6:E26)</f>
        <v/>
      </c>
    </row>
    <row r="31" ht="15" customHeight="1" s="48">
      <c r="A31" s="80" t="n"/>
      <c r="D31" s="47" t="inlineStr">
        <is>
          <t>TOTAL PLATIT:</t>
        </is>
      </c>
      <c r="E31" s="47">
        <f>E28+E29</f>
        <v/>
      </c>
    </row>
    <row r="32" ht="15" customHeight="1" s="48">
      <c r="A32" s="80" t="inlineStr">
        <is>
          <t>NOTA: B1 = tija filetata M12 (12130958) taiata in 4 bucati de ~220 mm pt polita; B4 = piulite M12 (3830642). Saibele = B3 (3840897, in cos). B2 = M12x120 baza papuc. Topcoatul (F3) si scara (Faza 2) raman de decis.</t>
        </is>
      </c>
    </row>
  </sheetData>
  <mergeCells count="5">
    <mergeCell ref="A32:G32"/>
    <mergeCell ref="A2:F2"/>
    <mergeCell ref="A1:F1"/>
    <mergeCell ref="A19:G19"/>
    <mergeCell ref="A5:G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3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47" min="1" max="1"/>
    <col width="40" customWidth="1" style="47" min="2" max="2"/>
    <col width="13" customWidth="1" style="47" min="3" max="3"/>
    <col width="7" customWidth="1" style="47" min="4" max="4"/>
    <col width="11" customWidth="1" style="47" min="5" max="5"/>
    <col width="9" customWidth="1" style="47" min="6" max="6"/>
    <col width="13" customWidth="1" style="47" min="7" max="7"/>
    <col width="40" customWidth="1" style="47" min="8" max="8"/>
  </cols>
  <sheetData>
    <row r="1" ht="27.75" customHeight="1" s="48">
      <c r="A1" s="81" t="inlineStr">
        <is>
          <t>CASUTA DIN COPAC  ·  Scule si unelte — Faza platforma</t>
        </is>
      </c>
    </row>
    <row r="2" ht="15" customHeight="1" s="48">
      <c r="A2" s="50" t="inlineStr">
        <is>
          <t>Bifeaza ce ai / ce inchiriezi / ce cumperi. Heco NU cer pregaurire; pregauresti doar la buloanele M12.</t>
        </is>
      </c>
    </row>
    <row r="4" ht="24" customHeight="1" s="48">
      <c r="A4" s="57" t="inlineStr">
        <is>
          <t>Categorie</t>
        </is>
      </c>
      <c r="B4" s="57" t="inlineStr">
        <is>
          <t>Scula / unealta</t>
        </is>
      </c>
      <c r="C4" s="57" t="inlineStr">
        <is>
          <t>Necesar</t>
        </is>
      </c>
      <c r="D4" s="57" t="inlineStr">
        <is>
          <t>Am</t>
        </is>
      </c>
      <c r="E4" s="57" t="inlineStr">
        <is>
          <t>Inchiriez</t>
        </is>
      </c>
      <c r="F4" s="57" t="inlineStr">
        <is>
          <t>Cumpar</t>
        </is>
      </c>
      <c r="G4" s="57" t="inlineStr">
        <is>
          <t>Pret est. (lei)</t>
        </is>
      </c>
      <c r="H4" s="57" t="inlineStr">
        <is>
          <t>Note</t>
        </is>
      </c>
    </row>
    <row r="5" ht="16.5" customHeight="1" s="48">
      <c r="A5" s="82" t="inlineStr">
        <is>
          <t>ELECTRICE</t>
        </is>
      </c>
      <c r="B5" s="83" t="n"/>
      <c r="C5" s="83" t="n"/>
      <c r="D5" s="83" t="n"/>
      <c r="E5" s="83" t="n"/>
      <c r="F5" s="83" t="n"/>
      <c r="G5" s="83" t="n"/>
      <c r="H5" s="84" t="n"/>
    </row>
    <row r="6" ht="21.75" customHeight="1" s="48">
      <c r="A6" s="94" t="inlineStr">
        <is>
          <t>Electrice</t>
        </is>
      </c>
      <c r="B6" s="95" t="inlineStr">
        <is>
          <t>Masina de insurubat cu impact + biti Torx TX40 &amp; TX30</t>
        </is>
      </c>
      <c r="C6" s="74" t="inlineStr">
        <is>
          <t>Esential</t>
        </is>
      </c>
      <c r="D6" s="97" t="n"/>
      <c r="E6" s="97" t="n"/>
      <c r="F6" s="97" t="n"/>
      <c r="G6" s="97" t="n"/>
      <c r="H6" s="95" t="inlineStr">
        <is>
          <t>Inima montajului — pt suruburile Heco</t>
        </is>
      </c>
    </row>
    <row r="7" ht="15" customHeight="1" s="48">
      <c r="A7" s="94" t="inlineStr">
        <is>
          <t>Electrice</t>
        </is>
      </c>
      <c r="B7" s="95" t="inlineStr">
        <is>
          <t>Bormasina + burghie de lemn</t>
        </is>
      </c>
      <c r="C7" s="74" t="inlineStr">
        <is>
          <t>Esential</t>
        </is>
      </c>
      <c r="D7" s="97" t="n"/>
      <c r="E7" s="97" t="n"/>
      <c r="F7" s="97" t="n"/>
      <c r="G7" s="97" t="n"/>
      <c r="H7" s="95" t="inlineStr">
        <is>
          <t>Pregaurit DOAR la buloanele M12</t>
        </is>
      </c>
    </row>
    <row r="8" ht="15" customHeight="1" s="48">
      <c r="A8" s="94" t="inlineStr">
        <is>
          <t>Electrice</t>
        </is>
      </c>
      <c r="B8" s="95" t="inlineStr">
        <is>
          <t>Fierastrau de retezat glisant</t>
        </is>
      </c>
      <c r="C8" s="96" t="inlineStr">
        <is>
          <t>Esential</t>
        </is>
      </c>
      <c r="D8" s="97" t="n"/>
      <c r="E8" s="97" t="n"/>
      <c r="F8" s="97" t="n"/>
      <c r="G8" s="97" t="inlineStr">
        <is>
          <t>80–120/zi</t>
        </is>
      </c>
      <c r="H8" s="95" t="inlineStr">
        <is>
          <t>SCULA PRINCIPALA de taiat — singura cu taietura perfect dreapta pe stalpi 100x100 si glulam. Capul stalpilor e portant.</t>
        </is>
      </c>
    </row>
    <row r="9" ht="15" customHeight="1" s="48">
      <c r="A9" s="94" t="inlineStr">
        <is>
          <t>Electrice</t>
        </is>
      </c>
      <c r="B9" s="95" t="inlineStr">
        <is>
          <t>Fierastrau circular (de mana)</t>
        </is>
      </c>
      <c r="C9" s="96" t="inlineStr">
        <is>
          <t>Secundar</t>
        </is>
      </c>
      <c r="D9" s="97" t="n"/>
      <c r="E9" s="97" t="n"/>
      <c r="F9" s="97" t="n"/>
      <c r="G9" s="97" t="inlineStr">
        <is>
          <t>60–90/zi</t>
        </is>
      </c>
      <c r="H9" s="95" t="inlineStr">
        <is>
          <t>Taie max ~56 mm — NU trece prin 100x100. Doar scanduri, sipci, placaj, taieturi lungi.</t>
        </is>
      </c>
    </row>
    <row r="10" ht="16.5" customHeight="1" s="48">
      <c r="A10" s="94" t="inlineStr">
        <is>
          <t>Electrice</t>
        </is>
      </c>
      <c r="B10" s="83" t="n"/>
      <c r="C10" s="83" t="n"/>
      <c r="D10" s="83" t="n"/>
      <c r="E10" s="83" t="n"/>
      <c r="F10" s="83" t="n"/>
      <c r="G10" s="83" t="n"/>
      <c r="H10" s="84" t="n"/>
    </row>
    <row r="11" ht="15" customHeight="1" s="48">
      <c r="A11" s="94" t="inlineStr">
        <is>
          <t>Electrice</t>
        </is>
      </c>
      <c r="B11" s="95" t="inlineStr">
        <is>
          <t>Fierastrau pendular</t>
        </is>
      </c>
      <c r="C11" s="72" t="inlineStr">
        <is>
          <t>Optional</t>
        </is>
      </c>
      <c r="D11" s="97" t="n"/>
      <c r="E11" s="97" t="n"/>
      <c r="F11" s="97" t="n"/>
      <c r="G11" s="97" t="n"/>
      <c r="H11" s="95" t="inlineStr">
        <is>
          <t>Decupajul gaurii pentru copac</t>
        </is>
      </c>
    </row>
    <row r="12" ht="15" customHeight="1" s="48">
      <c r="A12" s="82" t="inlineStr">
        <is>
          <t>MASURAT &amp; TRASAT</t>
        </is>
      </c>
      <c r="B12" s="83" t="n"/>
      <c r="C12" s="83" t="n"/>
      <c r="D12" s="83" t="n"/>
      <c r="E12" s="83" t="n"/>
      <c r="F12" s="83" t="n"/>
      <c r="G12" s="83" t="n"/>
      <c r="H12" s="84" t="n"/>
    </row>
    <row r="13" ht="15" customHeight="1" s="48">
      <c r="A13" s="94" t="inlineStr">
        <is>
          <t>Masurat</t>
        </is>
      </c>
      <c r="B13" s="95" t="inlineStr">
        <is>
          <t>Nivela laser (sau nivela lunga 1–2 m)</t>
        </is>
      </c>
      <c r="C13" s="74" t="inlineStr">
        <is>
          <t>Esential</t>
        </is>
      </c>
      <c r="D13" s="97" t="n"/>
      <c r="E13" s="97" t="n"/>
      <c r="F13" s="97" t="n"/>
      <c r="G13" s="97" t="n"/>
      <c r="H13" s="95" t="inlineStr">
        <is>
          <t>Transfer nivel pe toti 4 stalpii</t>
        </is>
      </c>
    </row>
    <row r="14" ht="15" customHeight="1" s="48">
      <c r="A14" s="94" t="inlineStr">
        <is>
          <t>Masurat</t>
        </is>
      </c>
      <c r="B14" s="95" t="inlineStr">
        <is>
          <t>Nivela cu bula mica</t>
        </is>
      </c>
      <c r="C14" s="74" t="inlineStr">
        <is>
          <t>Esential</t>
        </is>
      </c>
      <c r="D14" s="97" t="n"/>
      <c r="E14" s="97" t="n"/>
      <c r="F14" s="97" t="n"/>
      <c r="G14" s="97" t="n"/>
      <c r="H14" s="95" t="inlineStr">
        <is>
          <t>Verticalitatea stalpilor</t>
        </is>
      </c>
    </row>
    <row r="15" ht="15" customHeight="1" s="48">
      <c r="A15" s="94" t="inlineStr">
        <is>
          <t>Masurat</t>
        </is>
      </c>
      <c r="B15" s="95" t="inlineStr">
        <is>
          <t>Ruleta 5 m + creion de tamplarie</t>
        </is>
      </c>
      <c r="C15" s="74" t="inlineStr">
        <is>
          <t>Esential</t>
        </is>
      </c>
      <c r="D15" s="97" t="n"/>
      <c r="E15" s="97" t="n"/>
      <c r="F15" s="97" t="n"/>
      <c r="G15" s="97" t="n"/>
      <c r="H15" s="95" t="n"/>
    </row>
    <row r="16" ht="16.5" customHeight="1" s="48">
      <c r="A16" s="94" t="inlineStr">
        <is>
          <t>Masurat</t>
        </is>
      </c>
      <c r="B16" s="83" t="n"/>
      <c r="C16" s="83" t="n"/>
      <c r="D16" s="83" t="n"/>
      <c r="E16" s="83" t="n"/>
      <c r="F16" s="83" t="n"/>
      <c r="G16" s="83" t="n"/>
      <c r="H16" s="84" t="n"/>
    </row>
    <row r="17" ht="15" customHeight="1" s="48">
      <c r="A17" s="94" t="inlineStr">
        <is>
          <t>Masurat</t>
        </is>
      </c>
      <c r="B17" s="95" t="inlineStr">
        <is>
          <t>Echer mare (vinclu)</t>
        </is>
      </c>
      <c r="C17" s="74" t="inlineStr">
        <is>
          <t>Esential</t>
        </is>
      </c>
      <c r="D17" s="97" t="n"/>
      <c r="E17" s="97" t="n"/>
      <c r="F17" s="97" t="n"/>
      <c r="G17" s="97" t="n"/>
      <c r="H17" s="95" t="inlineStr">
        <is>
          <t>Taieturi la 90°, colturi drepte</t>
        </is>
      </c>
    </row>
    <row r="18" ht="15" customHeight="1" s="48">
      <c r="A18" s="82" t="inlineStr">
        <is>
          <t>SCULE DE MANA</t>
        </is>
      </c>
      <c r="B18" s="83" t="n"/>
      <c r="C18" s="83" t="n"/>
      <c r="D18" s="83" t="n"/>
      <c r="E18" s="83" t="n"/>
      <c r="F18" s="83" t="n"/>
      <c r="G18" s="83" t="n"/>
      <c r="H18" s="84" t="n"/>
    </row>
    <row r="19" ht="15" customHeight="1" s="48">
      <c r="A19" s="94" t="inlineStr">
        <is>
          <t>Mana</t>
        </is>
      </c>
      <c r="B19" s="95" t="inlineStr">
        <is>
          <t>Cheie cu clichet + tubulara 17/19</t>
        </is>
      </c>
      <c r="C19" s="74" t="inlineStr">
        <is>
          <t>Esential</t>
        </is>
      </c>
      <c r="D19" s="97" t="n"/>
      <c r="E19" s="97" t="n"/>
      <c r="F19" s="97" t="n"/>
      <c r="G19" s="97" t="n"/>
      <c r="H19" s="95" t="inlineStr">
        <is>
          <t>Buloanele M12 (polita)</t>
        </is>
      </c>
    </row>
    <row r="20" ht="15" customHeight="1" s="48">
      <c r="A20" s="94" t="inlineStr">
        <is>
          <t>Mana</t>
        </is>
      </c>
      <c r="B20" s="95" t="inlineStr">
        <is>
          <t>Ciocan</t>
        </is>
      </c>
      <c r="C20" s="74" t="inlineStr">
        <is>
          <t>Esential</t>
        </is>
      </c>
      <c r="D20" s="97" t="n"/>
      <c r="E20" s="97" t="n"/>
      <c r="F20" s="97" t="n"/>
      <c r="G20" s="97" t="n"/>
      <c r="H20" s="95" t="n"/>
    </row>
    <row r="21" ht="15" customHeight="1" s="48">
      <c r="A21" s="94" t="inlineStr">
        <is>
          <t>Mana</t>
        </is>
      </c>
      <c r="B21" s="95" t="inlineStr">
        <is>
          <t>Set biti / surubelnite</t>
        </is>
      </c>
      <c r="C21" s="74" t="inlineStr">
        <is>
          <t>Esential</t>
        </is>
      </c>
      <c r="D21" s="97" t="n"/>
      <c r="E21" s="97" t="n"/>
      <c r="F21" s="97" t="n"/>
      <c r="G21" s="97" t="n"/>
      <c r="H21" s="95" t="n"/>
    </row>
    <row r="22" ht="16.5" customHeight="1" s="48">
      <c r="A22" s="94" t="inlineStr">
        <is>
          <t>Mana</t>
        </is>
      </c>
      <c r="B22" s="83" t="n"/>
      <c r="C22" s="83" t="n"/>
      <c r="D22" s="83" t="n"/>
      <c r="E22" s="83" t="n"/>
      <c r="F22" s="83" t="n"/>
      <c r="G22" s="83" t="n"/>
      <c r="H22" s="84" t="n"/>
    </row>
    <row r="23" ht="15" customHeight="1" s="48">
      <c r="A23" s="94" t="inlineStr">
        <is>
          <t>Mana</t>
        </is>
      </c>
      <c r="B23" s="95" t="inlineStr">
        <is>
          <t>Cleste</t>
        </is>
      </c>
      <c r="C23" s="72" t="inlineStr">
        <is>
          <t>Util</t>
        </is>
      </c>
      <c r="D23" s="97" t="n"/>
      <c r="E23" s="97" t="n"/>
      <c r="F23" s="97" t="n"/>
      <c r="G23" s="97" t="n"/>
      <c r="H23" s="95" t="n"/>
    </row>
    <row r="24" ht="15" customHeight="1" s="48">
      <c r="A24" s="82" t="inlineStr">
        <is>
          <t>PRINDERE &amp; ACCES</t>
        </is>
      </c>
      <c r="B24" s="83" t="n"/>
      <c r="C24" s="83" t="n"/>
      <c r="D24" s="83" t="n"/>
      <c r="E24" s="83" t="n"/>
      <c r="F24" s="83" t="n"/>
      <c r="G24" s="83" t="n"/>
      <c r="H24" s="84" t="n"/>
    </row>
    <row r="25" ht="15" customHeight="1" s="48">
      <c r="A25" s="94" t="inlineStr">
        <is>
          <t>Prindere</t>
        </is>
      </c>
      <c r="B25" s="95" t="inlineStr">
        <is>
          <t>Cleme / menghine (clamps) — 2 pana la 4 buc</t>
        </is>
      </c>
      <c r="C25" s="74" t="inlineStr">
        <is>
          <t>Esential</t>
        </is>
      </c>
      <c r="D25" s="97" t="n"/>
      <c r="E25" s="97" t="n"/>
      <c r="F25" s="97" t="n"/>
      <c r="G25" s="97" t="n"/>
      <c r="H25" s="95" t="inlineStr">
        <is>
          <t>Tin piesele fixe cat insurubezi (vital in doi)</t>
        </is>
      </c>
    </row>
    <row r="26" ht="16.5" customHeight="1" s="48">
      <c r="A26" s="94" t="inlineStr">
        <is>
          <t>Acces</t>
        </is>
      </c>
      <c r="B26" s="83" t="n"/>
      <c r="C26" s="83" t="n"/>
      <c r="D26" s="83" t="n"/>
      <c r="E26" s="83" t="n"/>
      <c r="F26" s="83" t="n"/>
      <c r="G26" s="83" t="n"/>
      <c r="H26" s="84" t="n"/>
    </row>
    <row r="27" ht="15" customHeight="1" s="48">
      <c r="A27" s="94" t="inlineStr">
        <is>
          <t>Acces</t>
        </is>
      </c>
      <c r="B27" s="95" t="inlineStr">
        <is>
          <t>Capre de taiat (banc improvizat)</t>
        </is>
      </c>
      <c r="C27" s="72" t="inlineStr">
        <is>
          <t>Util</t>
        </is>
      </c>
      <c r="D27" s="97" t="n"/>
      <c r="E27" s="97" t="n"/>
      <c r="F27" s="97" t="n"/>
      <c r="G27" s="97" t="n"/>
      <c r="H27" s="95" t="inlineStr">
        <is>
          <t>Taiat comod la inaltime de lucru</t>
        </is>
      </c>
    </row>
    <row r="28" ht="15" customHeight="1" s="48">
      <c r="A28" s="82" t="inlineStr">
        <is>
          <t>PROTECTIE</t>
        </is>
      </c>
      <c r="B28" s="83" t="n"/>
      <c r="C28" s="83" t="n"/>
      <c r="D28" s="83" t="n"/>
      <c r="E28" s="83" t="n"/>
      <c r="F28" s="83" t="n"/>
      <c r="G28" s="83" t="n"/>
      <c r="H28" s="84" t="n"/>
    </row>
    <row r="29" ht="15" customHeight="1" s="48">
      <c r="A29" s="94" t="inlineStr">
        <is>
          <t>Protectie</t>
        </is>
      </c>
      <c r="B29" s="95" t="inlineStr">
        <is>
          <t>Ochelari de protectie</t>
        </is>
      </c>
      <c r="C29" s="74" t="inlineStr">
        <is>
          <t>Esential</t>
        </is>
      </c>
      <c r="D29" s="97" t="n"/>
      <c r="E29" s="97" t="n"/>
      <c r="F29" s="97" t="n"/>
      <c r="G29" s="97" t="n"/>
      <c r="H29" s="95" t="n"/>
    </row>
    <row r="30" ht="15" customHeight="1" s="48">
      <c r="A30" s="94" t="inlineStr">
        <is>
          <t>Protectie</t>
        </is>
      </c>
      <c r="B30" s="95" t="inlineStr">
        <is>
          <t>Manusi de lucru</t>
        </is>
      </c>
      <c r="C30" s="74" t="inlineStr">
        <is>
          <t>Esential</t>
        </is>
      </c>
      <c r="D30" s="97" t="n"/>
      <c r="E30" s="97" t="n"/>
      <c r="F30" s="97" t="n"/>
      <c r="G30" s="97" t="n"/>
      <c r="H30" s="95" t="n"/>
    </row>
    <row r="31" ht="16.5" customHeight="1" s="48">
      <c r="A31" s="94" t="inlineStr">
        <is>
          <t>Protectie</t>
        </is>
      </c>
      <c r="B31" s="83" t="n"/>
      <c r="C31" s="83" t="n"/>
      <c r="D31" s="83" t="n"/>
      <c r="E31" s="83" t="n"/>
      <c r="F31" s="83" t="n"/>
      <c r="G31" s="83" t="n"/>
      <c r="H31" s="84" t="n"/>
    </row>
    <row r="32" ht="15" customHeight="1" s="48">
      <c r="A32" s="94" t="inlineStr">
        <is>
          <t>Protectie</t>
        </is>
      </c>
      <c r="B32" s="95" t="inlineStr">
        <is>
          <t>Masca de praf</t>
        </is>
      </c>
      <c r="C32" s="72" t="inlineStr">
        <is>
          <t>Util</t>
        </is>
      </c>
      <c r="D32" s="97" t="n"/>
      <c r="E32" s="97" t="n"/>
      <c r="F32" s="97" t="n"/>
      <c r="G32" s="97" t="n"/>
      <c r="H32" s="95" t="inlineStr">
        <is>
          <t>La taiat / slefuit</t>
        </is>
      </c>
    </row>
    <row r="33" ht="15" customHeight="1" s="48">
      <c r="A33" s="82" t="inlineStr">
        <is>
          <t>FINISAJ &amp; DIVERSE</t>
        </is>
      </c>
      <c r="B33" s="83" t="n"/>
      <c r="C33" s="83" t="n"/>
      <c r="D33" s="83" t="n"/>
      <c r="E33" s="83" t="n"/>
      <c r="F33" s="83" t="n"/>
      <c r="G33" s="83" t="n"/>
      <c r="H33" s="84" t="n"/>
    </row>
    <row r="34" ht="15" customHeight="1" s="48">
      <c r="A34" s="94" t="inlineStr">
        <is>
          <t>Finisaj</t>
        </is>
      </c>
      <c r="B34" s="95" t="inlineStr">
        <is>
          <t>Pensula + trafalet</t>
        </is>
      </c>
      <c r="C34" s="72" t="inlineStr">
        <is>
          <t>la finisaj</t>
        </is>
      </c>
      <c r="D34" s="97" t="n"/>
      <c r="E34" s="97" t="n"/>
      <c r="F34" s="97" t="n"/>
      <c r="G34" s="97" t="n"/>
      <c r="H34" s="95" t="inlineStr">
        <is>
          <t>Ulei pe larice + protectie structura</t>
        </is>
      </c>
    </row>
    <row r="35">
      <c r="A35" s="94" t="inlineStr">
        <is>
          <t>Diverse</t>
        </is>
      </c>
      <c r="B35" s="95" t="inlineStr">
        <is>
          <t>Distantier 5 mm (un cui)</t>
        </is>
      </c>
      <c r="C35" s="96" t="inlineStr">
        <is>
          <t>gratis</t>
        </is>
      </c>
      <c r="D35" s="97" t="n"/>
      <c r="E35" s="97" t="n"/>
      <c r="F35" s="97" t="n"/>
      <c r="G35" s="97" t="n"/>
      <c r="H35" s="95" t="inlineStr">
        <is>
          <t>Golul egal intre scandurile de dusumea</t>
        </is>
      </c>
    </row>
    <row r="36" ht="15" customHeight="1" s="48">
      <c r="A36" s="94" t="inlineStr">
        <is>
          <t>Diverse</t>
        </is>
      </c>
      <c r="B36" s="83" t="n"/>
      <c r="C36" s="83" t="n"/>
      <c r="D36" s="83" t="n"/>
      <c r="E36" s="83" t="n"/>
      <c r="F36" s="83" t="n"/>
      <c r="G36" s="83" t="n"/>
      <c r="H36" s="84" t="n"/>
    </row>
    <row r="38">
      <c r="A38" s="80" t="inlineStr">
        <is>
          <t>Esential = obligatoriu · Inchiriaza = doar pentru weekendul de constructie · Util/Optional = ajuta, nu obligatoriu.</t>
        </is>
      </c>
    </row>
  </sheetData>
  <mergeCells count="9">
    <mergeCell ref="A26:H26"/>
    <mergeCell ref="A5:H5"/>
    <mergeCell ref="A2:H2"/>
    <mergeCell ref="A16:H16"/>
    <mergeCell ref="A10:H10"/>
    <mergeCell ref="A36:H36"/>
    <mergeCell ref="A1:H1"/>
    <mergeCell ref="A31:H31"/>
    <mergeCell ref="A22:H2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2026-06-07T13:58:22Z</dcterms:created>
  <dcterms:modified xsi:type="dcterms:W3CDTF">2026-06-13T14:48:50Z</dcterms:modified>
  <cp:revision>0</cp:revision>
</cp:coreProperties>
</file>