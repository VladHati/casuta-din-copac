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 ·  casuta pe 4 stalpi + terasa cu copac integrat  ·  actualizat manual pe masura ce cumparam</t>
        </is>
      </c>
    </row>
    <row r="3" ht="15" customHeight="1" s="48">
      <c r="A3" s="51" t="inlineStr">
        <is>
          <t>Buget (lei)</t>
        </is>
      </c>
      <c r="C3" s="52" t="n">
        <v>4000</v>
      </c>
    </row>
    <row r="4" ht="15" customHeight="1" s="48">
      <c r="A4" s="51" t="inlineStr">
        <is>
          <t>Cheltuit — cumparat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58" t="inlineStr">
        <is>
          <t>Structura</t>
        </is>
      </c>
      <c r="B11" s="59" t="inlineStr">
        <is>
          <t>Stalpi KVH (portanti)</t>
        </is>
      </c>
      <c r="C11" s="58" t="inlineStr">
        <is>
          <t>4000x100x100 mm</t>
        </is>
      </c>
      <c r="D11" s="58" t="inlineStr">
        <is>
          <t>Hornbach</t>
        </is>
      </c>
      <c r="E11" s="58" t="inlineStr">
        <is>
          <t>7337253</t>
        </is>
      </c>
      <c r="F11" s="60" t="n">
        <v>4</v>
      </c>
      <c r="G11" s="58" t="inlineStr">
        <is>
          <t>buc</t>
        </is>
      </c>
      <c r="H11" s="61" t="n">
        <v>149</v>
      </c>
      <c r="I11" s="62">
        <f>IF(AND(F11&lt;&gt;"",H11&lt;&gt;""),F11*H11,"")</f>
        <v/>
      </c>
      <c r="J11" s="63" t="inlineStr">
        <is>
          <t>Cumparat</t>
        </is>
      </c>
      <c r="K11" s="64" t="inlineStr">
        <is>
          <t>Hornbach</t>
        </is>
      </c>
      <c r="L11" s="59" t="inlineStr">
        <is>
          <t>Cei 4 stalpi principali ai casutei</t>
        </is>
      </c>
    </row>
    <row r="12" ht="32.25" customHeight="1" s="48">
      <c r="A12" s="65" t="inlineStr">
        <is>
          <t>Stoc nealocat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Nerindeluiti — cumparati, fara utilizare alocata inca; posibil fundatie terasa/scara</t>
        </is>
      </c>
    </row>
    <row r="13" ht="21.75" customHeight="1" s="48">
      <c r="A13" s="58" t="inlineStr">
        <is>
          <t>Structura</t>
        </is>
      </c>
      <c r="B13" s="59" t="inlineStr">
        <is>
          <t>Suport metalic stalp pe beton</t>
        </is>
      </c>
      <c r="C13" s="58" t="inlineStr">
        <is>
          <t>pt 100x100 mm</t>
        </is>
      </c>
      <c r="D13" s="58" t="inlineStr">
        <is>
          <t>Hornbach</t>
        </is>
      </c>
      <c r="E13" s="58" t="n"/>
      <c r="F13" s="60" t="n">
        <v>4</v>
      </c>
      <c r="G13" s="58" t="inlineStr">
        <is>
          <t>buc</t>
        </is>
      </c>
      <c r="H13" s="61" t="n">
        <v>78.19</v>
      </c>
      <c r="I13" s="62">
        <f>IF(AND(F13&lt;&gt;"",H13&lt;&gt;""),F13*H13,"")</f>
        <v/>
      </c>
      <c r="J13" s="72" t="inlineStr">
        <is>
          <t>De decis</t>
        </is>
      </c>
      <c r="K13" s="59" t="n"/>
      <c r="L13" s="59" t="inlineStr">
        <is>
          <t>Doar daca fundatiile NU au mustati/buloane turnate</t>
        </is>
      </c>
    </row>
    <row r="14" ht="21.75" customHeight="1" s="48">
      <c r="A14" s="65" t="inlineStr">
        <is>
          <t>Cadru</t>
        </is>
      </c>
      <c r="B14" s="66" t="inlineStr">
        <is>
          <t>Grinzi perimetrale (rama)</t>
        </is>
      </c>
      <c r="C14" s="65" t="inlineStr">
        <is>
          <t>KVH 80x140x4000</t>
        </is>
      </c>
      <c r="D14" s="65" t="inlineStr">
        <is>
          <t>Hornbach</t>
        </is>
      </c>
      <c r="E14" s="65" t="n"/>
      <c r="F14" s="67" t="n">
        <v>4</v>
      </c>
      <c r="G14" s="65" t="inlineStr">
        <is>
          <t>buc</t>
        </is>
      </c>
      <c r="H14" s="68" t="n">
        <v>175</v>
      </c>
      <c r="I14" s="69">
        <f>IF(AND(F14&lt;&gt;"",H14&lt;&gt;""),F14*H14,"")</f>
        <v/>
      </c>
      <c r="J14" s="73" t="inlineStr">
        <is>
          <t>De cumparat</t>
        </is>
      </c>
      <c r="K14" s="66" t="n"/>
      <c r="L14" s="66" t="inlineStr">
        <is>
          <t>Rama portanta a platformei, peste stalpi</t>
        </is>
      </c>
    </row>
    <row r="15" ht="15" customHeight="1" s="48">
      <c r="A15" s="58" t="inlineStr">
        <is>
          <t>Cadru</t>
        </is>
      </c>
      <c r="B15" s="59" t="inlineStr">
        <is>
          <t>Traverse podea (solute)</t>
        </is>
      </c>
      <c r="C15" s="58" t="inlineStr">
        <is>
          <t>60x100, interax ~40cm</t>
        </is>
      </c>
      <c r="D15" s="58" t="inlineStr">
        <is>
          <t>Hornbach</t>
        </is>
      </c>
      <c r="E15" s="58" t="n"/>
      <c r="F15" s="60" t="n">
        <v>6</v>
      </c>
      <c r="G15" s="58" t="inlineStr">
        <is>
          <t>buc</t>
        </is>
      </c>
      <c r="H15" s="61" t="n">
        <v>94</v>
      </c>
      <c r="I15" s="62">
        <f>IF(AND(F15&lt;&gt;"",H15&lt;&gt;""),F15*H15,"")</f>
        <v/>
      </c>
      <c r="J15" s="74" t="inlineStr">
        <is>
          <t>De cumparat</t>
        </is>
      </c>
      <c r="K15" s="59" t="n"/>
      <c r="L15" s="59" t="inlineStr">
        <is>
          <t>Sustin podeaua intre grinzi</t>
        </is>
      </c>
    </row>
    <row r="16" ht="15" customHeight="1" s="48">
      <c r="A16" s="65" t="inlineStr">
        <is>
          <t>Podea</t>
        </is>
      </c>
      <c r="B16" s="66" t="inlineStr">
        <is>
          <t>Dusumea / scandura podea</t>
        </is>
      </c>
      <c r="C16" s="65" t="inlineStr">
        <is>
          <t>28x120 mm</t>
        </is>
      </c>
      <c r="D16" s="65" t="n"/>
      <c r="E16" s="65" t="n"/>
      <c r="F16" s="67" t="n">
        <v>22</v>
      </c>
      <c r="G16" s="65" t="inlineStr">
        <is>
          <t>buc</t>
        </is>
      </c>
      <c r="H16" s="68" t="n">
        <v>38</v>
      </c>
      <c r="I16" s="69">
        <f>IF(AND(F16&lt;&gt;"",H16&lt;&gt;""),F16*H16,"")</f>
        <v/>
      </c>
      <c r="J16" s="73" t="inlineStr">
        <is>
          <t>De cumparat</t>
        </is>
      </c>
      <c r="K16" s="66" t="n"/>
      <c r="L16" s="66" t="inlineStr">
        <is>
          <t>Podea casuta + terasa</t>
        </is>
      </c>
    </row>
    <row r="17" ht="21.75" customHeight="1" s="48">
      <c r="A17" s="58" t="inlineStr">
        <is>
          <t>Terasa</t>
        </is>
      </c>
      <c r="B17" s="59" t="inlineStr">
        <is>
          <t>Grinzi suport terasa</t>
        </is>
      </c>
      <c r="C17" s="58" t="inlineStr">
        <is>
          <t>80x100 mm</t>
        </is>
      </c>
      <c r="D17" s="58" t="n"/>
      <c r="E17" s="58" t="n"/>
      <c r="F17" s="60" t="n">
        <v>3</v>
      </c>
      <c r="G17" s="58" t="inlineStr">
        <is>
          <t>buc</t>
        </is>
      </c>
      <c r="H17" s="61" t="n"/>
      <c r="I17" s="62">
        <f>IF(AND(F17&lt;&gt;"",H17&lt;&gt;""),F17*H17,"")</f>
        <v/>
      </c>
      <c r="J17" s="74" t="inlineStr">
        <is>
          <t>De cumparat</t>
        </is>
      </c>
      <c r="K17" s="59" t="n"/>
      <c r="L17" s="59" t="inlineStr">
        <is>
          <t>Nivel mai jos, in jurul copacului — decupaj trunchi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8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Obligatoriu la 2m inaltime</t>
        </is>
      </c>
    </row>
    <row r="19" ht="15" customHeight="1" s="48">
      <c r="A19" s="58" t="inlineStr">
        <is>
          <t>Balustrada</t>
        </is>
      </c>
      <c r="B19" s="59" t="inlineStr">
        <is>
          <t>Sipci umplutura</t>
        </is>
      </c>
      <c r="C19" s="58" t="inlineStr">
        <is>
          <t>18x18 / sipca</t>
        </is>
      </c>
      <c r="D19" s="58" t="inlineStr">
        <is>
          <t>Hornbach</t>
        </is>
      </c>
      <c r="E19" s="58" t="n"/>
      <c r="F19" s="60" t="n">
        <v>24</v>
      </c>
      <c r="G19" s="58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59" t="n"/>
      <c r="L19" s="59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58" t="inlineStr">
        <is>
          <t>Acoperis</t>
        </is>
      </c>
      <c r="B21" s="59" t="inlineStr">
        <is>
          <t>Capriori acoperis</t>
        </is>
      </c>
      <c r="C21" s="58" t="inlineStr">
        <is>
          <t>60x80 mm</t>
        </is>
      </c>
      <c r="D21" s="58" t="n"/>
      <c r="E21" s="58" t="n"/>
      <c r="F21" s="60" t="n">
        <v>4</v>
      </c>
      <c r="G21" s="58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59" t="n"/>
      <c r="L21" s="59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58" t="inlineStr">
        <is>
          <t>Scara</t>
        </is>
      </c>
      <c r="B23" s="59" t="inlineStr">
        <is>
          <t>Scara fixa + balustrada</t>
        </is>
      </c>
      <c r="C23" s="58" t="inlineStr">
        <is>
          <t>-</t>
        </is>
      </c>
      <c r="D23" s="58" t="n"/>
      <c r="E23" s="58" t="n"/>
      <c r="F23" s="60" t="n">
        <v>1</v>
      </c>
      <c r="G23" s="58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59" t="n"/>
      <c r="L23" s="59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Torx</t>
        </is>
      </c>
      <c r="C24" s="65" t="inlineStr">
        <is>
          <t>6x200 mm, pac 100</t>
        </is>
      </c>
      <c r="D24" s="65" t="inlineStr">
        <is>
          <t>Hornbach</t>
        </is>
      </c>
      <c r="E24" s="65" t="n"/>
      <c r="F24" s="67" t="n">
        <v>1</v>
      </c>
      <c r="G24" s="65" t="inlineStr">
        <is>
          <t>pac</t>
        </is>
      </c>
      <c r="H24" s="68" t="n">
        <v>274</v>
      </c>
      <c r="I24" s="69">
        <f>IF(AND(F24&lt;&gt;"",H24&lt;&gt;""),F24*H24,"")</f>
        <v/>
      </c>
      <c r="J24" s="73" t="inlineStr">
        <is>
          <t>De cumparat</t>
        </is>
      </c>
      <c r="K24" s="66" t="n"/>
      <c r="L24" s="66" t="inlineStr">
        <is>
          <t>Imbinari grinzi/stalpi</t>
        </is>
      </c>
    </row>
    <row r="25" ht="15" customHeight="1" s="48">
      <c r="A25" s="58" t="inlineStr">
        <is>
          <t>Feronerie</t>
        </is>
      </c>
      <c r="B25" s="59" t="inlineStr">
        <is>
          <t>Suruburi podea/terasa</t>
        </is>
      </c>
      <c r="C25" s="58" t="inlineStr">
        <is>
          <t>5x70 mm</t>
        </is>
      </c>
      <c r="D25" s="58" t="n"/>
      <c r="E25" s="58" t="n"/>
      <c r="F25" s="60" t="n">
        <v>2</v>
      </c>
      <c r="G25" s="58" t="inlineStr">
        <is>
          <t>pac</t>
        </is>
      </c>
      <c r="H25" s="61" t="n"/>
      <c r="I25" s="62">
        <f>IF(AND(F25&lt;&gt;"",H25&lt;&gt;""),F25*H25,"")</f>
        <v/>
      </c>
      <c r="J25" s="74" t="inlineStr">
        <is>
          <t>De cumparat</t>
        </is>
      </c>
      <c r="K25" s="59" t="n"/>
      <c r="L25" s="59" t="inlineStr">
        <is>
          <t>Prindere dusumea</t>
        </is>
      </c>
    </row>
    <row r="26" ht="15" customHeight="1" s="48">
      <c r="A26" s="65" t="inlineStr">
        <is>
          <t>Feronerie</t>
        </is>
      </c>
      <c r="B26" s="66" t="inlineStr">
        <is>
          <t>Coltare metalice imbinare</t>
        </is>
      </c>
      <c r="C26" s="65" t="inlineStr">
        <is>
          <t>Alberts</t>
        </is>
      </c>
      <c r="D26" s="65" t="inlineStr">
        <is>
          <t>Hornbach</t>
        </is>
      </c>
      <c r="E26" s="65" t="n"/>
      <c r="F26" s="67" t="n">
        <v>12</v>
      </c>
      <c r="G26" s="65" t="inlineStr">
        <is>
          <t>buc</t>
        </is>
      </c>
      <c r="H26" s="68" t="n">
        <v>28.37</v>
      </c>
      <c r="I26" s="69">
        <f>IF(AND(F26&lt;&gt;"",H26&lt;&gt;""),F26*H26,"")</f>
        <v/>
      </c>
      <c r="J26" s="73" t="inlineStr">
        <is>
          <t>De cumparat</t>
        </is>
      </c>
      <c r="K26" s="66" t="n"/>
      <c r="L26" s="66" t="inlineStr">
        <is>
          <t>Intarire colturi cadru</t>
        </is>
      </c>
    </row>
    <row r="27" ht="15" customHeight="1" s="48">
      <c r="A27" s="58" t="inlineStr">
        <is>
          <t>Feronerie</t>
        </is>
      </c>
      <c r="B27" s="59" t="inlineStr">
        <is>
          <t>Buloane M10 + piulite autoblocante</t>
        </is>
      </c>
      <c r="C27" s="58" t="inlineStr">
        <is>
          <t>-</t>
        </is>
      </c>
      <c r="D27" s="58" t="n"/>
      <c r="E27" s="58" t="n"/>
      <c r="F27" s="60" t="n">
        <v>8</v>
      </c>
      <c r="G27" s="58" t="inlineStr">
        <is>
          <t>set</t>
        </is>
      </c>
      <c r="H27" s="61" t="n"/>
      <c r="I27" s="62">
        <f>IF(AND(F27&lt;&gt;"",H27&lt;&gt;""),F27*H27,"")</f>
        <v/>
      </c>
      <c r="J27" s="74" t="inlineStr">
        <is>
          <t>De cumparat</t>
        </is>
      </c>
      <c r="K27" s="59" t="n"/>
      <c r="L27" s="59" t="inlineStr">
        <is>
          <t>Fixare grinzi principale pe stalpi</t>
        </is>
      </c>
    </row>
    <row r="28" ht="15" customHeight="1" s="48">
      <c r="A28" s="65" t="inlineStr">
        <is>
          <t>Finisaj</t>
        </is>
      </c>
      <c r="B28" s="66" t="inlineStr">
        <is>
          <t>Vopsea protectie lemn exterior</t>
        </is>
      </c>
      <c r="C28" s="65" t="inlineStr">
        <is>
          <t>Wetterschutz 6 l</t>
        </is>
      </c>
      <c r="D28" s="65" t="inlineStr">
        <is>
          <t>Hornbach</t>
        </is>
      </c>
      <c r="E28" s="65" t="n"/>
      <c r="F28" s="67" t="n">
        <v>2</v>
      </c>
      <c r="G28" s="65" t="inlineStr">
        <is>
          <t>buc</t>
        </is>
      </c>
      <c r="H28" s="68" t="n">
        <v>183</v>
      </c>
      <c r="I28" s="69">
        <f>IF(AND(F28&lt;&gt;"",H28&lt;&gt;""),F28*H28,"")</f>
        <v/>
      </c>
      <c r="J28" s="73" t="inlineStr">
        <is>
          <t>De cumparat</t>
        </is>
      </c>
      <c r="K28" s="66" t="n"/>
      <c r="L28" s="66" t="inlineStr">
        <is>
          <t>Protectie intemperii</t>
        </is>
      </c>
    </row>
    <row r="29" ht="15" customHeight="1" s="48">
      <c r="A29" s="58" t="inlineStr">
        <is>
          <t>Finisaj</t>
        </is>
      </c>
      <c r="B29" s="59" t="inlineStr">
        <is>
          <t>Grund izolare lemn</t>
        </is>
      </c>
      <c r="C29" s="58" t="inlineStr">
        <is>
          <t>2,5 l</t>
        </is>
      </c>
      <c r="D29" s="58" t="inlineStr">
        <is>
          <t>Hornbach</t>
        </is>
      </c>
      <c r="E29" s="58" t="n"/>
      <c r="F29" s="60" t="n">
        <v>1</v>
      </c>
      <c r="G29" s="58" t="inlineStr">
        <is>
          <t>buc</t>
        </is>
      </c>
      <c r="H29" s="61" t="n">
        <v>95.5</v>
      </c>
      <c r="I29" s="62">
        <f>IF(AND(F29&lt;&gt;"",H29&lt;&gt;""),F29*H29,"")</f>
        <v/>
      </c>
      <c r="J29" s="74" t="inlineStr">
        <is>
          <t>De cumparat</t>
        </is>
      </c>
      <c r="K29" s="59" t="n"/>
      <c r="L29" s="59" t="inlineStr">
        <is>
          <t>Strat de baza inainte de vopsea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58" t="inlineStr">
        <is>
          <t>Joaca</t>
        </is>
      </c>
      <c r="B31" s="59" t="inlineStr">
        <is>
          <t>Tobogan</t>
        </is>
      </c>
      <c r="C31" s="58" t="inlineStr">
        <is>
          <t>-</t>
        </is>
      </c>
      <c r="D31" s="58" t="n"/>
      <c r="E31" s="58" t="n"/>
      <c r="F31" s="60" t="n">
        <v>1</v>
      </c>
      <c r="G31" s="58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59" t="n"/>
      <c r="L31" s="59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podea +2200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59" t="inlineStr">
        <is>
          <t>Stalpi spate (inalti)</t>
        </is>
      </c>
      <c r="C6" s="59" t="inlineStr">
        <is>
          <t>KVH 100×100</t>
        </is>
      </c>
      <c r="D6" s="85" t="inlineStr">
        <is>
          <t>~3800</t>
        </is>
      </c>
      <c r="E6" s="85" t="inlineStr">
        <is>
          <t>2</t>
        </is>
      </c>
      <c r="F6" s="63" t="inlineStr">
        <is>
          <t>AVEM</t>
        </is>
      </c>
      <c r="G6" s="58" t="inlineStr">
        <is>
          <t>Hornbach</t>
        </is>
      </c>
      <c r="H6" s="59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59" t="inlineStr">
        <is>
          <t>Stalpi fata (la podea)</t>
        </is>
      </c>
      <c r="C7" s="59" t="inlineStr">
        <is>
          <t>KVH 100×100</t>
        </is>
      </c>
      <c r="D7" s="85" t="inlineStr">
        <is>
          <t>2200</t>
        </is>
      </c>
      <c r="E7" s="85" t="inlineStr">
        <is>
          <t>2</t>
        </is>
      </c>
      <c r="F7" s="63" t="inlineStr">
        <is>
          <t>AVEM</t>
        </is>
      </c>
      <c r="G7" s="58" t="inlineStr">
        <is>
          <t>Hornbach</t>
        </is>
      </c>
      <c r="H7" s="59" t="inlineStr">
        <is>
          <t>Taiati la nivel podea. Offcut ~1800×2 il pastram pentru contrafise/blocuri.</t>
        </is>
      </c>
    </row>
    <row r="8" ht="21.75" customHeight="1" s="48">
      <c r="A8" s="72" t="inlineStr">
        <is>
          <t>P3</t>
        </is>
      </c>
      <c r="B8" s="59" t="inlineStr">
        <is>
          <t>Grinzi principale (fata+spate)</t>
        </is>
      </c>
      <c r="C8" s="59" t="inlineStr">
        <is>
          <t>KVH 80×140 DUBLAT</t>
        </is>
      </c>
      <c r="D8" s="85" t="inlineStr">
        <is>
          <t>~2300</t>
        </is>
      </c>
      <c r="E8" s="85" t="inlineStr">
        <is>
          <t>4</t>
        </is>
      </c>
      <c r="F8" s="74" t="inlineStr">
        <is>
          <t>NOU</t>
        </is>
      </c>
      <c r="G8" s="58" t="inlineStr">
        <is>
          <t>Hornbach</t>
        </is>
      </c>
      <c r="H8" s="59" t="inlineStr">
        <is>
          <t>2 grinzi, fiecare dublata. Bulonate M12 in stalpi. Componenta critica.</t>
        </is>
      </c>
    </row>
    <row r="9" ht="15" customHeight="1" s="48">
      <c r="A9" s="72" t="inlineStr">
        <is>
          <t>P4</t>
        </is>
      </c>
      <c r="B9" s="59" t="inlineStr">
        <is>
          <t>Joiste podea</t>
        </is>
      </c>
      <c r="C9" s="59" t="inlineStr">
        <is>
          <t>100×100</t>
        </is>
      </c>
      <c r="D9" s="85" t="inlineStr">
        <is>
          <t>~2550</t>
        </is>
      </c>
      <c r="E9" s="85" t="inlineStr">
        <is>
          <t>6</t>
        </is>
      </c>
      <c r="F9" s="74" t="inlineStr">
        <is>
          <t>4 AVEM + 2 NOU</t>
        </is>
      </c>
      <c r="G9" s="58" t="inlineStr">
        <is>
          <t>Leroy</t>
        </is>
      </c>
      <c r="H9" s="59" t="inlineStr">
        <is>
          <t>Fata-spate (consola 700), CONTINUE. Pozitii de la S4: 0/360/660/1100/1575/2100 — ocolesc trunchiul.</t>
        </is>
      </c>
    </row>
    <row r="10" ht="21.75" customHeight="1" s="48">
      <c r="A10" s="72" t="inlineStr">
        <is>
          <t>P4b</t>
        </is>
      </c>
      <c r="B10" s="59" t="inlineStr">
        <is>
          <t>Rama gaura copac (headers)</t>
        </is>
      </c>
      <c r="C10" s="59" t="inlineStr">
        <is>
          <t>din offcut 100×100</t>
        </is>
      </c>
      <c r="D10" s="85" t="inlineStr">
        <is>
          <t>~300</t>
        </is>
      </c>
      <c r="E10" s="85" t="inlineStr">
        <is>
          <t>2</t>
        </is>
      </c>
      <c r="F10" s="63" t="inlineStr">
        <is>
          <t>DIN OFFCUT</t>
        </is>
      </c>
      <c r="G10" s="58" t="inlineStr">
        <is>
          <t>-</t>
        </is>
      </c>
      <c r="H10" s="59" t="inlineStr">
        <is>
          <t>Doua traverse scurte intre joistele de la 360 si 660,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59" t="inlineStr">
        <is>
          <t>Talpi + coronament pereti</t>
        </is>
      </c>
      <c r="C15" s="59" t="inlineStr">
        <is>
          <t>50×80</t>
        </is>
      </c>
      <c r="D15" s="85" t="inlineStr">
        <is>
          <t>var</t>
        </is>
      </c>
      <c r="E15" s="85" t="inlineStr">
        <is>
          <t>~6</t>
        </is>
      </c>
      <c r="F15" s="74" t="inlineStr">
        <is>
          <t>NOU</t>
        </is>
      </c>
      <c r="G15" s="58" t="inlineStr">
        <is>
          <t>oricare</t>
        </is>
      </c>
      <c r="H15" s="59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59" t="inlineStr">
        <is>
          <t>Montanti pereti</t>
        </is>
      </c>
      <c r="C16" s="59" t="inlineStr">
        <is>
          <t>50×80</t>
        </is>
      </c>
      <c r="D16" s="85" t="inlineStr">
        <is>
          <t>~1400</t>
        </is>
      </c>
      <c r="E16" s="85" t="inlineStr">
        <is>
          <t>~14</t>
        </is>
      </c>
      <c r="F16" s="74" t="inlineStr">
        <is>
          <t>NOU</t>
        </is>
      </c>
      <c r="G16" s="58" t="inlineStr">
        <is>
          <t>oricare</t>
        </is>
      </c>
      <c r="H16" s="59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59" t="inlineStr">
        <is>
          <t>Capriori</t>
        </is>
      </c>
      <c r="C19" s="59" t="inlineStr">
        <is>
          <t>60×100</t>
        </is>
      </c>
      <c r="D19" s="85" t="inlineStr">
        <is>
          <t>~1400</t>
        </is>
      </c>
      <c r="E19" s="85" t="inlineStr">
        <is>
          <t>4</t>
        </is>
      </c>
      <c r="F19" s="74" t="inlineStr">
        <is>
          <t>NOU</t>
        </is>
      </c>
      <c r="G19" s="58" t="inlineStr">
        <is>
          <t>oricare</t>
        </is>
      </c>
      <c r="H19" s="59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59" t="inlineStr">
        <is>
          <t>Astereala acoperis</t>
        </is>
      </c>
      <c r="C20" s="59" t="inlineStr">
        <is>
          <t>OSB3 / scandura</t>
        </is>
      </c>
      <c r="D20" s="85" t="inlineStr">
        <is>
          <t>2500×1250</t>
        </is>
      </c>
      <c r="E20" s="85" t="inlineStr">
        <is>
          <t>1 placa</t>
        </is>
      </c>
      <c r="F20" s="74" t="inlineStr">
        <is>
          <t>NOU</t>
        </is>
      </c>
      <c r="G20" s="58" t="inlineStr">
        <is>
          <t>oricare</t>
        </is>
      </c>
      <c r="H20" s="59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59" t="inlineStr">
        <is>
          <t>Stalpisori balustrada</t>
        </is>
      </c>
      <c r="C23" s="59" t="inlineStr">
        <is>
          <t>58×58</t>
        </is>
      </c>
      <c r="D23" s="85" t="inlineStr">
        <is>
          <t>1000</t>
        </is>
      </c>
      <c r="E23" s="85" t="inlineStr">
        <is>
          <t>7</t>
        </is>
      </c>
      <c r="F23" s="74" t="inlineStr">
        <is>
          <t>NOU</t>
        </is>
      </c>
      <c r="G23" s="58" t="inlineStr">
        <is>
          <t>Hornbach</t>
        </is>
      </c>
      <c r="H23" s="59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59" t="inlineStr">
        <is>
          <t>Mana curenta + rigla jos</t>
        </is>
      </c>
      <c r="C24" s="59" t="inlineStr">
        <is>
          <t>45×70</t>
        </is>
      </c>
      <c r="D24" s="85" t="inlineStr">
        <is>
          <t>~9 m total</t>
        </is>
      </c>
      <c r="E24" s="85" t="inlineStr">
        <is>
          <t>2</t>
        </is>
      </c>
      <c r="F24" s="74" t="inlineStr">
        <is>
          <t>NOU</t>
        </is>
      </c>
      <c r="G24" s="58" t="inlineStr">
        <is>
          <t>oricare</t>
        </is>
      </c>
      <c r="H24" s="59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59" t="inlineStr">
        <is>
          <t>Coarde scara</t>
        </is>
      </c>
      <c r="C27" s="59" t="inlineStr">
        <is>
          <t>50×150</t>
        </is>
      </c>
      <c r="D27" s="85" t="inlineStr">
        <is>
          <t>~2900</t>
        </is>
      </c>
      <c r="E27" s="85" t="inlineStr">
        <is>
          <t>2</t>
        </is>
      </c>
      <c r="F27" s="74" t="inlineStr">
        <is>
          <t>NOU</t>
        </is>
      </c>
      <c r="G27" s="58" t="inlineStr">
        <is>
          <t>oricare</t>
        </is>
      </c>
      <c r="H27" s="59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59" t="inlineStr">
        <is>
          <t>Trepte</t>
        </is>
      </c>
      <c r="C28" s="59" t="inlineStr">
        <is>
          <t>40×200</t>
        </is>
      </c>
      <c r="D28" s="85" t="inlineStr">
        <is>
          <t>600</t>
        </is>
      </c>
      <c r="E28" s="85" t="inlineStr">
        <is>
          <t>8</t>
        </is>
      </c>
      <c r="F28" s="74" t="inlineStr">
        <is>
          <t>NOU</t>
        </is>
      </c>
      <c r="G28" s="58" t="inlineStr">
        <is>
          <t>oricare</t>
        </is>
      </c>
      <c r="H28" s="59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59" t="inlineStr">
        <is>
          <t>Blat masa</t>
        </is>
      </c>
      <c r="C31" s="59" t="inlineStr">
        <is>
          <t>panou / scandura lipita ~Ø500</t>
        </is>
      </c>
      <c r="D31" s="85" t="inlineStr">
        <is>
          <t>-</t>
        </is>
      </c>
      <c r="E31" s="85" t="inlineStr">
        <is>
          <t>1</t>
        </is>
      </c>
      <c r="F31" s="74" t="inlineStr">
        <is>
          <t>NOU/offcut</t>
        </is>
      </c>
      <c r="G31" s="58" t="inlineStr">
        <is>
          <t>oricare</t>
        </is>
      </c>
      <c r="H31" s="59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59" t="inlineStr">
        <is>
          <t>Buloane M12 + piulite + saibe</t>
        </is>
      </c>
      <c r="C34" s="59" t="inlineStr">
        <is>
          <t>M12 ×~180</t>
        </is>
      </c>
      <c r="D34" s="85" t="inlineStr">
        <is>
          <t>-</t>
        </is>
      </c>
      <c r="E34" s="85" t="inlineStr">
        <is>
          <t>16</t>
        </is>
      </c>
      <c r="F34" s="74" t="inlineStr">
        <is>
          <t>NOU</t>
        </is>
      </c>
      <c r="G34" s="58" t="inlineStr">
        <is>
          <t>oricare</t>
        </is>
      </c>
      <c r="H34" s="59" t="inlineStr">
        <is>
          <t>Grinzi → stalpi. Traseu principal de greutate.</t>
        </is>
      </c>
    </row>
    <row r="35" ht="15" customHeight="1" s="48">
      <c r="A35" s="72" t="inlineStr">
        <is>
          <t>P22</t>
        </is>
      </c>
      <c r="B35" s="59" t="inlineStr">
        <is>
          <t>Coltare metalice</t>
        </is>
      </c>
      <c r="C35" s="59" t="inlineStr">
        <is>
          <t>intariri imbinari</t>
        </is>
      </c>
      <c r="D35" s="85" t="inlineStr">
        <is>
          <t>-</t>
        </is>
      </c>
      <c r="E35" s="85" t="inlineStr">
        <is>
          <t>12</t>
        </is>
      </c>
      <c r="F35" s="74" t="inlineStr">
        <is>
          <t>NOU</t>
        </is>
      </c>
      <c r="G35" s="58" t="inlineStr">
        <is>
          <t>Hornbach</t>
        </is>
      </c>
      <c r="H35" s="59" t="inlineStr">
        <is>
          <t>Joiste → grinzi, colturi cadru.</t>
        </is>
      </c>
    </row>
    <row r="36" ht="15" customHeight="1" s="48">
      <c r="A36" s="72" t="inlineStr">
        <is>
          <t>P23</t>
        </is>
      </c>
      <c r="B36" s="59" t="inlineStr">
        <is>
          <t>Suruburi structurale Torx</t>
        </is>
      </c>
      <c r="C36" s="59" t="inlineStr">
        <is>
          <t>6×200, pac 100</t>
        </is>
      </c>
      <c r="D36" s="85" t="inlineStr">
        <is>
          <t>-</t>
        </is>
      </c>
      <c r="E36" s="85" t="inlineStr">
        <is>
          <t>1 pac</t>
        </is>
      </c>
      <c r="F36" s="74" t="inlineStr">
        <is>
          <t>NOU</t>
        </is>
      </c>
      <c r="G36" s="58" t="inlineStr">
        <is>
          <t>Hornbach</t>
        </is>
      </c>
      <c r="H36" s="59" t="inlineStr">
        <is>
          <t>Imbinari lemn-lemn.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59" t="inlineStr">
        <is>
          <t>Grund izolare lemn</t>
        </is>
      </c>
      <c r="C39" s="59" t="inlineStr">
        <is>
          <t>2,5 l</t>
        </is>
      </c>
      <c r="D39" s="85" t="inlineStr">
        <is>
          <t>-</t>
        </is>
      </c>
      <c r="E39" s="85" t="inlineStr">
        <is>
          <t>1</t>
        </is>
      </c>
      <c r="F39" s="74" t="inlineStr">
        <is>
          <t>NOU</t>
        </is>
      </c>
      <c r="G39" s="58" t="inlineStr">
        <is>
          <t>Hornbach</t>
        </is>
      </c>
      <c r="H39" s="59" t="inlineStr">
        <is>
          <t>Strat de baza.</t>
        </is>
      </c>
    </row>
    <row r="40" ht="15" customHeight="1" s="48">
      <c r="A40" s="72" t="inlineStr">
        <is>
          <t>P26</t>
        </is>
      </c>
      <c r="B40" s="59" t="inlineStr">
        <is>
          <t>Vopsea protectie exterior</t>
        </is>
      </c>
      <c r="C40" s="59" t="inlineStr">
        <is>
          <t>6 l</t>
        </is>
      </c>
      <c r="D40" s="85" t="inlineStr">
        <is>
          <t>-</t>
        </is>
      </c>
      <c r="E40" s="85" t="inlineStr">
        <is>
          <t>2</t>
        </is>
      </c>
      <c r="F40" s="74" t="inlineStr">
        <is>
          <t>NOU</t>
        </is>
      </c>
      <c r="G40" s="58" t="inlineStr">
        <is>
          <t>Hornbach</t>
        </is>
      </c>
      <c r="H40" s="59" t="inlineStr">
        <is>
          <t>Wetterschutz sau similar.</t>
        </is>
      </c>
    </row>
    <row r="41" ht="15" customHeight="1" s="48">
      <c r="A41" s="72" t="inlineStr">
        <is>
          <t>P27</t>
        </is>
      </c>
      <c r="B41" s="59" t="inlineStr">
        <is>
          <t>Sol moale sub platforma</t>
        </is>
      </c>
      <c r="C41" s="59" t="inlineStr">
        <is>
          <t>scoarta / nisip</t>
        </is>
      </c>
      <c r="D41" s="85" t="inlineStr">
        <is>
          <t>~5 m²</t>
        </is>
      </c>
      <c r="E41" s="85" t="inlineStr">
        <is>
          <t>1 lot</t>
        </is>
      </c>
      <c r="F41" s="74" t="inlineStr">
        <is>
          <t>NOU</t>
        </is>
      </c>
      <c r="G41" s="58" t="inlineStr">
        <is>
          <t>oricare</t>
        </is>
      </c>
      <c r="H41" s="59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58" t="inlineStr">
        <is>
          <t>Stalpi</t>
        </is>
      </c>
      <c r="B6" s="59" t="inlineStr">
        <is>
          <t>Stalpi KVH 100×100×4000 (AVEM)</t>
        </is>
      </c>
      <c r="C6" s="58" t="inlineStr">
        <is>
          <t>Hornbach</t>
        </is>
      </c>
      <c r="D6" s="88" t="n">
        <v>149</v>
      </c>
      <c r="E6" s="60" t="n">
        <v>4</v>
      </c>
      <c r="F6" s="58" t="inlineStr">
        <is>
          <t>buc</t>
        </is>
      </c>
      <c r="G6" s="62">
        <f>IF(AND(D6&lt;&gt;"",E6&lt;&gt;""),D6*E6,"")</f>
        <v/>
      </c>
      <c r="H6" s="59" t="inlineStr">
        <is>
          <t>Stalpi spate (4m) + fata (taiati 1872)</t>
        </is>
      </c>
      <c r="I6" s="63" t="inlineStr">
        <is>
          <t>AVEM</t>
        </is>
      </c>
    </row>
    <row r="7" ht="15" customHeight="1" s="48">
      <c r="A7" s="58" t="inlineStr">
        <is>
          <t>Baza</t>
        </is>
      </c>
      <c r="B7" s="59" t="inlineStr">
        <is>
          <t>Papuc reazem U 101×100, otel 4 mm (in beton)</t>
        </is>
      </c>
      <c r="C7" s="58" t="inlineStr">
        <is>
          <t>Leroy</t>
        </is>
      </c>
      <c r="D7" s="88" t="n">
        <v>19.69</v>
      </c>
      <c r="E7" s="60" t="n">
        <v>4</v>
      </c>
      <c r="F7" s="58" t="inlineStr">
        <is>
          <t>buc</t>
        </is>
      </c>
      <c r="G7" s="62">
        <f>IF(AND(D7&lt;&gt;"",E7&lt;&gt;""),D7*E7,"")</f>
        <v/>
      </c>
      <c r="H7" s="59" t="inlineStr">
        <is>
          <t>Baza stalpilor; stalpul intra in U</t>
        </is>
      </c>
      <c r="I7" s="63" t="inlineStr">
        <is>
          <t>AVEM</t>
        </is>
      </c>
    </row>
    <row r="8" ht="15" customHeight="1" s="48">
      <c r="A8" s="58" t="inlineStr">
        <is>
          <t>Baza</t>
        </is>
      </c>
      <c r="B8" s="59" t="inlineStr">
        <is>
          <t>Buloane M12×180 + piulita + saiba</t>
        </is>
      </c>
      <c r="C8" s="58" t="inlineStr">
        <is>
          <t>Hornbach</t>
        </is>
      </c>
      <c r="D8" s="88" t="n">
        <v>7</v>
      </c>
      <c r="E8" s="60" t="n">
        <v>12</v>
      </c>
      <c r="F8" s="58" t="inlineStr">
        <is>
          <t>buc</t>
        </is>
      </c>
      <c r="G8" s="62">
        <f>IF(AND(D8&lt;&gt;"",E8&lt;&gt;""),D8*E8,"")</f>
        <v/>
      </c>
      <c r="H8" s="59" t="inlineStr">
        <is>
          <t>4× polita grinda spate + 8× baza stalpi (2/papuc)</t>
        </is>
      </c>
      <c r="I8" s="74" t="inlineStr">
        <is>
          <t>De cumparat</t>
        </is>
      </c>
    </row>
    <row r="9" ht="15" customHeight="1" s="48">
      <c r="A9" s="58" t="inlineStr">
        <is>
          <t>Joiste</t>
        </is>
      </c>
      <c r="B9" s="59" t="inlineStr">
        <is>
          <t>Grinda 100×100×4000 (AVEM)</t>
        </is>
      </c>
      <c r="C9" s="58" t="inlineStr">
        <is>
          <t>Leroy</t>
        </is>
      </c>
      <c r="D9" s="88" t="n">
        <v>86.98999999999999</v>
      </c>
      <c r="E9" s="60" t="n">
        <v>4</v>
      </c>
      <c r="F9" s="58" t="inlineStr">
        <is>
          <t>buc</t>
        </is>
      </c>
      <c r="G9" s="62">
        <f>IF(AND(D9&lt;&gt;"",E9&lt;&gt;""),D9*E9,"")</f>
        <v/>
      </c>
      <c r="H9" s="59" t="inlineStr">
        <is>
          <t>Joiste podea fata-spate (consola 700)</t>
        </is>
      </c>
      <c r="I9" s="63" t="inlineStr">
        <is>
          <t>AVEM</t>
        </is>
      </c>
    </row>
    <row r="10" ht="15" customHeight="1" s="48">
      <c r="A10" s="58" t="inlineStr">
        <is>
          <t>Joiste</t>
        </is>
      </c>
      <c r="B10" s="59" t="inlineStr">
        <is>
          <t>KVH 100×100×4000 — inca 2 joiste</t>
        </is>
      </c>
      <c r="C10" s="58" t="inlineStr">
        <is>
          <t>Hornbach</t>
        </is>
      </c>
      <c r="D10" s="88" t="n">
        <v>149</v>
      </c>
      <c r="E10" s="60" t="n">
        <v>2</v>
      </c>
      <c r="F10" s="58" t="inlineStr">
        <is>
          <t>buc</t>
        </is>
      </c>
      <c r="G10" s="62">
        <f>IF(AND(D10&lt;&gt;"",E10&lt;&gt;""),D10*E10,"")</f>
        <v/>
      </c>
      <c r="H10" s="59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58" t="inlineStr">
        <is>
          <t>Grinzi</t>
        </is>
      </c>
      <c r="B11" s="59" t="inlineStr">
        <is>
          <t>Grinda lamelara Glulam 90×200×4000</t>
        </is>
      </c>
      <c r="C11" s="58" t="inlineStr">
        <is>
          <t>Hornbach</t>
        </is>
      </c>
      <c r="D11" s="88" t="n">
        <v>479</v>
      </c>
      <c r="E11" s="60" t="n">
        <v>2</v>
      </c>
      <c r="F11" s="58" t="inlineStr">
        <is>
          <t>buc</t>
        </is>
      </c>
      <c r="G11" s="62">
        <f>IF(AND(D11&lt;&gt;"",E11&lt;&gt;""),D11*E11,"")</f>
        <v/>
      </c>
      <c r="H11" s="59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58" t="inlineStr">
        <is>
          <t>Grinzi</t>
        </is>
      </c>
      <c r="B12" s="59" t="inlineStr">
        <is>
          <t>Polita lemn (din offcut 100×100)</t>
        </is>
      </c>
      <c r="C12" s="58" t="inlineStr">
        <is>
          <t>-</t>
        </is>
      </c>
      <c r="D12" s="88" t="n">
        <v>0</v>
      </c>
      <c r="E12" s="60" t="n">
        <v>2</v>
      </c>
      <c r="F12" s="58" t="inlineStr">
        <is>
          <t>buc</t>
        </is>
      </c>
      <c r="G12" s="62">
        <f>IF(AND(D12&lt;&gt;"",E12&lt;&gt;""),D12*E12,"")</f>
        <v/>
      </c>
      <c r="H12" s="59" t="inlineStr">
        <is>
          <t>Sub grinda spate, bulonata cu M12</t>
        </is>
      </c>
      <c r="I12" s="63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58" t="inlineStr">
        <is>
          <t>Dusumea</t>
        </is>
      </c>
      <c r="B14" s="59" t="inlineStr">
        <is>
          <t>Lemn terasa larice Konsta 28×145×3000</t>
        </is>
      </c>
      <c r="C14" s="58" t="inlineStr">
        <is>
          <t>Hornbach</t>
        </is>
      </c>
      <c r="D14" s="88" t="n">
        <v>79.90000000000001</v>
      </c>
      <c r="E14" s="60" t="n">
        <v>17</v>
      </c>
      <c r="F14" s="58" t="inlineStr">
        <is>
          <t>buc</t>
        </is>
      </c>
      <c r="G14" s="62">
        <f>IF(AND(D14&lt;&gt;"",E14&lt;&gt;""),D14*E14,"")</f>
        <v/>
      </c>
      <c r="H14" s="59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58" t="inlineStr">
        <is>
          <t>Conectori</t>
        </is>
      </c>
      <c r="B16" s="59" t="inlineStr">
        <is>
          <t>Coltar rigidizat Alberts 100×100×90×3</t>
        </is>
      </c>
      <c r="C16" s="58" t="inlineStr">
        <is>
          <t>Hornbach</t>
        </is>
      </c>
      <c r="D16" s="88" t="n">
        <v>9.35</v>
      </c>
      <c r="E16" s="60" t="n">
        <v>4</v>
      </c>
      <c r="F16" s="58" t="inlineStr">
        <is>
          <t>buc</t>
        </is>
      </c>
      <c r="G16" s="62">
        <f>IF(AND(D16&lt;&gt;"",E16&lt;&gt;""),D16*E16,"")</f>
        <v/>
      </c>
      <c r="H16" s="59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58" t="inlineStr">
        <is>
          <t>Conectori</t>
        </is>
      </c>
      <c r="B17" s="59" t="inlineStr">
        <is>
          <t>Coltar rigidizat Alberts 90×90×65</t>
        </is>
      </c>
      <c r="C17" s="58" t="inlineStr">
        <is>
          <t>Hornbach</t>
        </is>
      </c>
      <c r="D17" s="88" t="n">
        <v>4.83</v>
      </c>
      <c r="E17" s="60" t="n">
        <v>12</v>
      </c>
      <c r="F17" s="58" t="inlineStr">
        <is>
          <t>buc</t>
        </is>
      </c>
      <c r="G17" s="62">
        <f>IF(AND(D17&lt;&gt;"",E17&lt;&gt;""),D17*E17,"")</f>
        <v/>
      </c>
      <c r="H17" s="59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58" t="inlineStr">
        <is>
          <t>Suruburi</t>
        </is>
      </c>
      <c r="B18" s="59" t="inlineStr">
        <is>
          <t>Heco Topix-Plus 8×200 Torx (100 buc)</t>
        </is>
      </c>
      <c r="C18" s="58" t="inlineStr">
        <is>
          <t>Hornbach</t>
        </is>
      </c>
      <c r="D18" s="88" t="n">
        <v>369.1</v>
      </c>
      <c r="E18" s="60" t="n">
        <v>1</v>
      </c>
      <c r="F18" s="58" t="inlineStr">
        <is>
          <t>pac</t>
        </is>
      </c>
      <c r="G18" s="62">
        <f>IF(AND(D18&lt;&gt;"",E18&lt;&gt;""),D18*E18,"")</f>
        <v/>
      </c>
      <c r="H18" s="59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58" t="inlineStr">
        <is>
          <t>Suruburi</t>
        </is>
      </c>
      <c r="B19" s="59" t="inlineStr">
        <is>
          <t>Heco Topix-Plus 6×100 inox A2 (100 buc)</t>
        </is>
      </c>
      <c r="C19" s="58" t="inlineStr">
        <is>
          <t>Hornbach</t>
        </is>
      </c>
      <c r="D19" s="88" t="n">
        <v>228.78</v>
      </c>
      <c r="E19" s="60" t="n">
        <v>1</v>
      </c>
      <c r="F19" s="58" t="inlineStr">
        <is>
          <t>pac</t>
        </is>
      </c>
      <c r="G19" s="62">
        <f>IF(AND(D19&lt;&gt;"",E19&lt;&gt;""),D19*E19,"")</f>
        <v/>
      </c>
      <c r="H19" s="59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58" t="inlineStr">
        <is>
          <t>Suruburi</t>
        </is>
      </c>
      <c r="B20" s="59" t="inlineStr">
        <is>
          <t>Heco Topix-Plus 6×80 (100 buc)</t>
        </is>
      </c>
      <c r="C20" s="58" t="inlineStr">
        <is>
          <t>Hornbach</t>
        </is>
      </c>
      <c r="D20" s="88" t="n">
        <v>72.8</v>
      </c>
      <c r="E20" s="60" t="n">
        <v>1</v>
      </c>
      <c r="F20" s="58" t="inlineStr">
        <is>
          <t>pac</t>
        </is>
      </c>
      <c r="G20" s="62">
        <f>IF(AND(D20&lt;&gt;"",E20&lt;&gt;""),D20*E20,"")</f>
        <v/>
      </c>
      <c r="H20" s="59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58" t="inlineStr">
        <is>
          <t>Suruburi</t>
        </is>
      </c>
      <c r="B21" s="59" t="inlineStr">
        <is>
          <t>Suruburi inox A2 5×60 dusumea (200)</t>
        </is>
      </c>
      <c r="C21" s="58" t="inlineStr">
        <is>
          <t>Hornbach</t>
        </is>
      </c>
      <c r="D21" s="88" t="n">
        <v>120</v>
      </c>
      <c r="E21" s="60" t="n">
        <v>1</v>
      </c>
      <c r="F21" s="58" t="inlineStr">
        <is>
          <t>pac</t>
        </is>
      </c>
      <c r="G21" s="62">
        <f>IF(AND(D21&lt;&gt;"",E21&lt;&gt;""),D21*E21,"")</f>
        <v/>
      </c>
      <c r="H21" s="59" t="inlineStr">
        <is>
          <t>Prindere dusumea larice</t>
        </is>
      </c>
      <c r="I21" s="72" t="inlineStr">
        <is>
          <t>De cumparat (est.)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58" t="inlineStr">
        <is>
          <t>Scara</t>
        </is>
      </c>
      <c r="B23" s="59" t="inlineStr">
        <is>
          <t>Coarde scara KVH 60×140×3000</t>
        </is>
      </c>
      <c r="C23" s="58" t="inlineStr">
        <is>
          <t>Hornbach</t>
        </is>
      </c>
      <c r="D23" s="88" t="n">
        <v>130</v>
      </c>
      <c r="E23" s="60" t="n">
        <v>2</v>
      </c>
      <c r="F23" s="58" t="inlineStr">
        <is>
          <t>buc</t>
        </is>
      </c>
      <c r="G23" s="62">
        <f>IF(AND(D23&lt;&gt;"",E23&lt;&gt;""),D23*E23,"")</f>
        <v/>
      </c>
      <c r="H23" s="59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58" t="inlineStr">
        <is>
          <t>Scara</t>
        </is>
      </c>
      <c r="B24" s="59" t="inlineStr">
        <is>
          <t>Trepte larice/dulap 45×190 ~600 mm</t>
        </is>
      </c>
      <c r="C24" s="58" t="inlineStr">
        <is>
          <t>Hornbach</t>
        </is>
      </c>
      <c r="D24" s="88" t="n">
        <v>25</v>
      </c>
      <c r="E24" s="60" t="n">
        <v>10</v>
      </c>
      <c r="F24" s="58" t="inlineStr">
        <is>
          <t>buc</t>
        </is>
      </c>
      <c r="G24" s="62">
        <f>IF(AND(D24&lt;&gt;"",E24&lt;&gt;""),D24*E24,"")</f>
        <v/>
      </c>
      <c r="H24" s="59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58" t="inlineStr">
        <is>
          <t>Scara</t>
        </is>
      </c>
      <c r="B25" s="59" t="inlineStr">
        <is>
          <t>Mana curenta + stalpisori (lemn)</t>
        </is>
      </c>
      <c r="C25" s="58" t="inlineStr">
        <is>
          <t>Hornbach</t>
        </is>
      </c>
      <c r="D25" s="88" t="n">
        <v>120</v>
      </c>
      <c r="E25" s="60" t="n">
        <v>1</v>
      </c>
      <c r="F25" s="58" t="inlineStr">
        <is>
          <t>set</t>
        </is>
      </c>
      <c r="G25" s="62">
        <f>IF(AND(D25&lt;&gt;"",E25&lt;&gt;""),D25*E25,"")</f>
        <v/>
      </c>
      <c r="H25" s="59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58" t="inlineStr">
        <is>
          <t>Scara</t>
        </is>
      </c>
      <c r="B26" s="59" t="inlineStr">
        <is>
          <t>Feronerie scara (coltare + Heco + 2× M10)</t>
        </is>
      </c>
      <c r="C26" s="58" t="inlineStr">
        <is>
          <t>Hornbach</t>
        </is>
      </c>
      <c r="D26" s="88" t="n">
        <v>80</v>
      </c>
      <c r="E26" s="60" t="n">
        <v>1</v>
      </c>
      <c r="F26" s="58" t="inlineStr">
        <is>
          <t>set</t>
        </is>
      </c>
      <c r="G26" s="62">
        <f>IF(AND(D26&lt;&gt;"",E26&lt;&gt;""),D26*E26,"")</f>
        <v/>
      </c>
      <c r="H26" s="59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58" t="inlineStr">
        <is>
          <t>Scara</t>
        </is>
      </c>
      <c r="B27" s="59" t="inlineStr">
        <is>
          <t>Dala/paver baza scara</t>
        </is>
      </c>
      <c r="C27" s="58" t="inlineStr">
        <is>
          <t>Hornbach</t>
        </is>
      </c>
      <c r="D27" s="88" t="n">
        <v>20</v>
      </c>
      <c r="E27" s="60" t="n">
        <v>1</v>
      </c>
      <c r="F27" s="58" t="inlineStr">
        <is>
          <t>buc</t>
        </is>
      </c>
      <c r="G27" s="62">
        <f>IF(AND(D27&lt;&gt;"",E27&lt;&gt;""),D27*E27,"")</f>
        <v/>
      </c>
      <c r="H27" s="59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58" t="inlineStr">
        <is>
          <t>Finisaj</t>
        </is>
      </c>
      <c r="B29" s="59" t="inlineStr">
        <is>
          <t>Ulei lemn tec Hornbach Plus 2,5 l</t>
        </is>
      </c>
      <c r="C29" s="58" t="inlineStr">
        <is>
          <t>Hornbach</t>
        </is>
      </c>
      <c r="D29" s="88" t="n">
        <v>144.39</v>
      </c>
      <c r="E29" s="60" t="n">
        <v>2</v>
      </c>
      <c r="F29" s="58" t="inlineStr">
        <is>
          <t>buc</t>
        </is>
      </c>
      <c r="G29" s="62">
        <f>IF(AND(D29&lt;&gt;"",E29&lt;&gt;""),D29*E29,"")</f>
        <v/>
      </c>
      <c r="H29" s="59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58" t="inlineStr">
        <is>
          <t>Finisaj</t>
        </is>
      </c>
      <c r="B30" s="59" t="inlineStr">
        <is>
          <t>Lazura/protectie exterior structura</t>
        </is>
      </c>
      <c r="C30" s="58" t="inlineStr">
        <is>
          <t>Hornbach</t>
        </is>
      </c>
      <c r="D30" s="88" t="n">
        <v>150</v>
      </c>
      <c r="E30" s="60" t="n">
        <v>1</v>
      </c>
      <c r="F30" s="58" t="inlineStr">
        <is>
          <t>buc</t>
        </is>
      </c>
      <c r="G30" s="62">
        <f>IF(AND(D30&lt;&gt;"",E30&lt;&gt;""),D30*E30,"")</f>
        <v/>
      </c>
      <c r="H30" s="59" t="inlineStr">
        <is>
          <t>Stalpi + joiste + capete</t>
        </is>
      </c>
      <c r="I30" s="72" t="inlineStr">
        <is>
          <t>De cumparat (est.)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S4.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13 produse in cos. Coloana 'Cod piesa' leaga fiecare linie de catalogul de piese. + livrare 215 lei.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IN COS — adaugate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59" t="inlineStr">
        <is>
          <t>Grinda lamelara Glulam 90×200×4000</t>
        </is>
      </c>
      <c r="B6" s="58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63" t="inlineStr">
        <is>
          <t>IN COS</t>
        </is>
      </c>
      <c r="G6" s="58" t="inlineStr">
        <is>
          <t>GR</t>
        </is>
      </c>
    </row>
    <row r="7" ht="15" customHeight="1" s="48">
      <c r="A7" s="59" t="inlineStr">
        <is>
          <t>KVH 100×100×4000 (joiste in plus)</t>
        </is>
      </c>
      <c r="B7" s="58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63" t="inlineStr">
        <is>
          <t>IN COS</t>
        </is>
      </c>
      <c r="G7" s="58" t="inlineStr">
        <is>
          <t>JO</t>
        </is>
      </c>
    </row>
    <row r="8" ht="15" customHeight="1" s="48">
      <c r="A8" s="59" t="inlineStr">
        <is>
          <t>Lemn terasa larice Konsta 28×145×3000</t>
        </is>
      </c>
      <c r="B8" s="58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63" t="inlineStr">
        <is>
          <t>IN COS</t>
        </is>
      </c>
      <c r="G8" s="58" t="inlineStr">
        <is>
          <t>DL</t>
        </is>
      </c>
    </row>
    <row r="9" ht="15" customHeight="1" s="48">
      <c r="A9" s="59" t="inlineStr">
        <is>
          <t>Coltar rigidizat Alberts 100×100×90×3</t>
        </is>
      </c>
      <c r="B9" s="58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63" t="inlineStr">
        <is>
          <t>IN COS</t>
        </is>
      </c>
      <c r="G9" s="58" t="inlineStr">
        <is>
          <t>C1</t>
        </is>
      </c>
    </row>
    <row r="10" ht="15" customHeight="1" s="48">
      <c r="A10" s="59" t="inlineStr">
        <is>
          <t>Coltar rigidizat Alberts 90×90×65×2,5</t>
        </is>
      </c>
      <c r="B10" s="58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63" t="inlineStr">
        <is>
          <t>IN COS</t>
        </is>
      </c>
      <c r="G10" s="58" t="inlineStr">
        <is>
          <t>C2</t>
        </is>
      </c>
    </row>
    <row r="11" ht="15" customHeight="1" s="48">
      <c r="A11" s="59" t="inlineStr">
        <is>
          <t>Heco Topix-Plus 8×200 zincat (100 buc)</t>
        </is>
      </c>
      <c r="B11" s="58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63" t="inlineStr">
        <is>
          <t>IN COS</t>
        </is>
      </c>
      <c r="G11" s="58" t="inlineStr">
        <is>
          <t>H1</t>
        </is>
      </c>
    </row>
    <row r="12" ht="15" customHeight="1" s="48">
      <c r="A12" s="59" t="inlineStr">
        <is>
          <t>Heco Topix-Plus 6×100 ZINCAT albastru (100 buc)</t>
        </is>
      </c>
      <c r="B12" s="58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63" t="inlineStr">
        <is>
          <t>IN COS</t>
        </is>
      </c>
      <c r="G12" s="58" t="inlineStr">
        <is>
          <t>H2</t>
        </is>
      </c>
    </row>
    <row r="13" ht="15" customHeight="1" s="48">
      <c r="A13" s="59" t="inlineStr">
        <is>
          <t>Heco Topix-Plus 6×80 zincat (100 buc)</t>
        </is>
      </c>
      <c r="B13" s="58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63" t="inlineStr">
        <is>
          <t>IN COS</t>
        </is>
      </c>
      <c r="G13" s="58" t="inlineStr">
        <is>
          <t>H3</t>
        </is>
      </c>
    </row>
    <row r="14" ht="15" customHeight="1" s="48">
      <c r="A14" s="59" t="inlineStr">
        <is>
          <t>Suruburi terasa inox A2 5×60 (100 buc)</t>
        </is>
      </c>
      <c r="B14" s="58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63" t="inlineStr">
        <is>
          <t>IN COS</t>
        </is>
      </c>
      <c r="G14" s="58" t="inlineStr">
        <is>
          <t>H4</t>
        </is>
      </c>
    </row>
    <row r="15" ht="15" customHeight="1" s="48">
      <c r="A15" s="59" t="inlineStr">
        <is>
          <t>Surub hexagonal M12×120 inox A2 (25 buc) — baza papuc</t>
        </is>
      </c>
      <c r="B15" s="58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63" t="inlineStr">
        <is>
          <t>IN COS</t>
        </is>
      </c>
      <c r="G15" s="58" t="inlineStr">
        <is>
          <t>B2</t>
        </is>
      </c>
    </row>
    <row r="16" ht="15" customHeight="1" s="48">
      <c r="A16" s="59" t="inlineStr">
        <is>
          <t>Ulei lemn tec Hornbach Plus 2,5 l (dusumea)</t>
        </is>
      </c>
      <c r="B16" s="58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63" t="inlineStr">
        <is>
          <t>IN COS</t>
        </is>
      </c>
      <c r="G16" s="58" t="inlineStr">
        <is>
          <t>F1</t>
        </is>
      </c>
    </row>
    <row r="17" ht="16.5" customHeight="1" s="48">
      <c r="A17" s="59" t="inlineStr">
        <is>
          <t>Saibe late M12 13×30 zincat (100 buc)</t>
        </is>
      </c>
      <c r="B17" s="58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63" t="inlineStr">
        <is>
          <t>IN COS</t>
        </is>
      </c>
      <c r="G17" s="58" t="inlineStr">
        <is>
          <t>B3</t>
        </is>
      </c>
    </row>
    <row r="18" ht="15" customHeight="1" s="48">
      <c r="A18" s="59" t="inlineStr">
        <is>
          <t>Lazura impregnare Hornbach exterior 2,5 l (grund)</t>
        </is>
      </c>
      <c r="B18" s="58" t="inlineStr">
        <is>
          <t>12469765</t>
        </is>
      </c>
      <c r="C18" s="88" t="n">
        <v>92.5</v>
      </c>
      <c r="D18" s="60" t="n">
        <v>2</v>
      </c>
      <c r="E18" s="62">
        <f>C18*D18</f>
        <v/>
      </c>
      <c r="F18" s="63" t="inlineStr">
        <is>
          <t>IN COS</t>
        </is>
      </c>
      <c r="G18" s="58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59" t="inlineStr">
        <is>
          <t>Bulon M12 POLITA lung ~200 (set cu piulita, 25 buc)</t>
        </is>
      </c>
      <c r="B20" s="58" t="inlineStr">
        <is>
          <t>-</t>
        </is>
      </c>
      <c r="C20" s="88" t="n">
        <v>45</v>
      </c>
      <c r="D20" s="60" t="n">
        <v>1</v>
      </c>
      <c r="E20" s="62">
        <f>C20*D20</f>
        <v/>
      </c>
      <c r="F20" s="63" t="inlineStr">
        <is>
          <t>de confirmat</t>
        </is>
      </c>
      <c r="G20" s="58" t="inlineStr">
        <is>
          <t>B1</t>
        </is>
      </c>
    </row>
    <row r="21" ht="15" customHeight="1" s="48">
      <c r="A21" s="59" t="inlineStr">
        <is>
          <t>Piulite M12 — din raft la magazin</t>
        </is>
      </c>
      <c r="B21" s="58" t="inlineStr">
        <is>
          <t>-</t>
        </is>
      </c>
      <c r="C21" s="88" t="n">
        <v>15</v>
      </c>
      <c r="D21" s="60" t="n">
        <v>1</v>
      </c>
      <c r="E21" s="62">
        <f>C21*D21</f>
        <v/>
      </c>
      <c r="F21" s="63" t="inlineStr">
        <is>
          <t>de confirmat</t>
        </is>
      </c>
      <c r="G21" s="58" t="inlineStr">
        <is>
          <t>B4</t>
        </is>
      </c>
    </row>
    <row r="22" ht="15" customHeight="1" s="48">
      <c r="A22" s="59" t="inlineStr">
        <is>
          <t>Topcoat: lazura colorata / vopsea exterior (culoarea ta)</t>
        </is>
      </c>
      <c r="B22" s="58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63" t="inlineStr">
        <is>
          <t>de confirmat</t>
        </is>
      </c>
      <c r="G22" s="58" t="inlineStr">
        <is>
          <t>F3</t>
        </is>
      </c>
    </row>
    <row r="23" ht="15" customHeight="1" s="48">
      <c r="A23" s="59" t="inlineStr">
        <is>
          <t>KVH coarde scara ~60×140×3000 (Faza 2)</t>
        </is>
      </c>
      <c r="B23" s="58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63" t="inlineStr">
        <is>
          <t>de confirmat</t>
        </is>
      </c>
      <c r="G23" s="58" t="inlineStr">
        <is>
          <t>—</t>
        </is>
      </c>
    </row>
    <row r="24" ht="15" customHeight="1" s="48">
      <c r="A24" s="59" t="inlineStr">
        <is>
          <t>Trepte larice/dulap ~45×190, ~600 mm (Faza 2)</t>
        </is>
      </c>
      <c r="B24" s="58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63" t="inlineStr">
        <is>
          <t>de confirmat</t>
        </is>
      </c>
      <c r="G24" s="58" t="inlineStr">
        <is>
          <t>—</t>
        </is>
      </c>
    </row>
    <row r="25" ht="15" customHeight="1" s="48">
      <c r="A25" s="59" t="inlineStr">
        <is>
          <t>Lemn mana curenta + stalpisori scara (Faza 2)</t>
        </is>
      </c>
      <c r="B25" s="58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63" t="inlineStr">
        <is>
          <t>de confirmat</t>
        </is>
      </c>
      <c r="G25" s="58" t="inlineStr">
        <is>
          <t>—</t>
        </is>
      </c>
    </row>
    <row r="26" ht="15" customHeight="1" s="48">
      <c r="A26" s="59" t="inlineStr">
        <is>
          <t>Dala/paver baza scara (Faza 2)</t>
        </is>
      </c>
      <c r="B26" s="58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63" t="inlineStr">
        <is>
          <t>de confirmat</t>
        </is>
      </c>
      <c r="G26" s="58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in cos:</t>
        </is>
      </c>
      <c r="E28" s="93">
        <f>SUMIF(F6:F26,"IN COS",E6:E26)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</row>
    <row r="32" ht="15" customHeight="1" s="48">
      <c r="A32" s="80" t="inlineStr">
        <is>
          <t>NOTA: Coloana 'Cod piesa' = legenda din catalogul de piese (catalog-piese.html). B1 = bulon M12 LUNG (~200) pt polita — masori grosimea reala inainte de comanda. B2 = M12×120 pt baza papuc (deja in cos). Piulitele M12 (B4) se iau din raft la magazin. Topcoatul colorat (F3) il alegi tu.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58" t="inlineStr">
        <is>
          <t>Electrice</t>
        </is>
      </c>
      <c r="B6" s="59" t="inlineStr">
        <is>
          <t>Masina de insurubat cu impact + biti Torx TX40 &amp; TX30</t>
        </is>
      </c>
      <c r="C6" s="74" t="inlineStr">
        <is>
          <t>Esential</t>
        </is>
      </c>
      <c r="D6" s="85" t="n"/>
      <c r="E6" s="85" t="n"/>
      <c r="F6" s="85" t="n"/>
      <c r="G6" s="85" t="n"/>
      <c r="H6" s="59" t="inlineStr">
        <is>
          <t>Inima montajului — pt suruburile Heco</t>
        </is>
      </c>
    </row>
    <row r="7" ht="15" customHeight="1" s="48">
      <c r="A7" s="58" t="inlineStr">
        <is>
          <t>Electrice</t>
        </is>
      </c>
      <c r="B7" s="59" t="inlineStr">
        <is>
          <t>Bormasina + burghie de lemn</t>
        </is>
      </c>
      <c r="C7" s="74" t="inlineStr">
        <is>
          <t>Esential</t>
        </is>
      </c>
      <c r="D7" s="85" t="n"/>
      <c r="E7" s="85" t="n"/>
      <c r="F7" s="85" t="n"/>
      <c r="G7" s="85" t="n"/>
      <c r="H7" s="59" t="inlineStr">
        <is>
          <t>Pregaurit DOAR la buloanele M12</t>
        </is>
      </c>
    </row>
    <row r="8" ht="15" customHeight="1" s="48">
      <c r="A8" s="58" t="inlineStr">
        <is>
          <t>Electrice</t>
        </is>
      </c>
      <c r="B8" s="59" t="inlineStr">
        <is>
          <t>Fierastrau de retezat glisant</t>
        </is>
      </c>
      <c r="C8" s="63" t="inlineStr">
        <is>
          <t>Esential</t>
        </is>
      </c>
      <c r="D8" s="85" t="n"/>
      <c r="E8" s="85" t="n"/>
      <c r="F8" s="85" t="n"/>
      <c r="G8" s="85" t="inlineStr">
        <is>
          <t>80–120/zi</t>
        </is>
      </c>
      <c r="H8" s="59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95" t="inlineStr">
        <is>
          <t>Panza de mana (coada de vulpe)</t>
        </is>
      </c>
      <c r="C10" s="96" t="inlineStr">
        <is>
          <t>Esential</t>
        </is>
      </c>
      <c r="D10" s="97" t="n"/>
      <c r="E10" s="97" t="n"/>
      <c r="F10" s="97" t="n"/>
      <c r="G10" s="97" t="n"/>
      <c r="H10" s="95" t="inlineStr">
        <is>
          <t>Backup fara curent + finisat miezul. Varianta ieftina: circular pe 4 fete cu echer, finisezi miezul cu panza.</t>
        </is>
      </c>
    </row>
    <row r="11" ht="15" customHeight="1" s="48">
      <c r="A11" s="58" t="inlineStr">
        <is>
          <t>Electrice</t>
        </is>
      </c>
      <c r="B11" s="59" t="inlineStr">
        <is>
          <t>Fierastrau pendular</t>
        </is>
      </c>
      <c r="C11" s="72" t="inlineStr">
        <is>
          <t>Optional</t>
        </is>
      </c>
      <c r="D11" s="85" t="n"/>
      <c r="E11" s="85" t="n"/>
      <c r="F11" s="85" t="n"/>
      <c r="G11" s="85" t="n"/>
      <c r="H11" s="59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58" t="inlineStr">
        <is>
          <t>Masurat</t>
        </is>
      </c>
      <c r="B13" s="59" t="inlineStr">
        <is>
          <t>Nivela laser (sau nivela lunga 1–2 m)</t>
        </is>
      </c>
      <c r="C13" s="74" t="inlineStr">
        <is>
          <t>Esential</t>
        </is>
      </c>
      <c r="D13" s="85" t="n"/>
      <c r="E13" s="85" t="n"/>
      <c r="F13" s="85" t="n"/>
      <c r="G13" s="85" t="n"/>
      <c r="H13" s="59" t="inlineStr">
        <is>
          <t>Transfer nivel pe toti 4 stalpii</t>
        </is>
      </c>
    </row>
    <row r="14" ht="15" customHeight="1" s="48">
      <c r="A14" s="58" t="inlineStr">
        <is>
          <t>Masurat</t>
        </is>
      </c>
      <c r="B14" s="59" t="inlineStr">
        <is>
          <t>Nivela cu bula mica</t>
        </is>
      </c>
      <c r="C14" s="74" t="inlineStr">
        <is>
          <t>Esential</t>
        </is>
      </c>
      <c r="D14" s="85" t="n"/>
      <c r="E14" s="85" t="n"/>
      <c r="F14" s="85" t="n"/>
      <c r="G14" s="85" t="n"/>
      <c r="H14" s="59" t="inlineStr">
        <is>
          <t>Verticalitatea stalpilor</t>
        </is>
      </c>
    </row>
    <row r="15" ht="15" customHeight="1" s="48">
      <c r="A15" s="58" t="inlineStr">
        <is>
          <t>Masurat</t>
        </is>
      </c>
      <c r="B15" s="59" t="inlineStr">
        <is>
          <t>Ruleta 5 m + creion de tamplarie</t>
        </is>
      </c>
      <c r="C15" s="74" t="inlineStr">
        <is>
          <t>Esential</t>
        </is>
      </c>
      <c r="D15" s="85" t="n"/>
      <c r="E15" s="85" t="n"/>
      <c r="F15" s="85" t="n"/>
      <c r="G15" s="85" t="n"/>
      <c r="H15" s="59" t="n"/>
    </row>
    <row r="16" ht="16.5" customHeight="1" s="48">
      <c r="A16" s="58" t="inlineStr">
        <is>
          <t>Masurat</t>
        </is>
      </c>
      <c r="B16" s="59" t="inlineStr">
        <is>
          <t>Sfoara de trasat (chalk line)</t>
        </is>
      </c>
      <c r="C16" s="72" t="inlineStr">
        <is>
          <t>Util</t>
        </is>
      </c>
      <c r="D16" s="85" t="n"/>
      <c r="E16" s="85" t="n"/>
      <c r="F16" s="85" t="n"/>
      <c r="G16" s="85" t="n"/>
      <c r="H16" s="59" t="inlineStr">
        <is>
          <t>Linii lungi drepte</t>
        </is>
      </c>
    </row>
    <row r="17" ht="15" customHeight="1" s="48">
      <c r="A17" s="58" t="inlineStr">
        <is>
          <t>Masurat</t>
        </is>
      </c>
      <c r="B17" s="59" t="inlineStr">
        <is>
          <t>Echer mare (vinclu)</t>
        </is>
      </c>
      <c r="C17" s="74" t="inlineStr">
        <is>
          <t>Esential</t>
        </is>
      </c>
      <c r="D17" s="85" t="n"/>
      <c r="E17" s="85" t="n"/>
      <c r="F17" s="85" t="n"/>
      <c r="G17" s="85" t="n"/>
      <c r="H17" s="59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58" t="inlineStr">
        <is>
          <t>Mana</t>
        </is>
      </c>
      <c r="B19" s="59" t="inlineStr">
        <is>
          <t>Cheie cu clichet + tubulara 17/19</t>
        </is>
      </c>
      <c r="C19" s="74" t="inlineStr">
        <is>
          <t>Esential</t>
        </is>
      </c>
      <c r="D19" s="85" t="n"/>
      <c r="E19" s="85" t="n"/>
      <c r="F19" s="85" t="n"/>
      <c r="G19" s="85" t="n"/>
      <c r="H19" s="59" t="inlineStr">
        <is>
          <t>Buloanele M12 (polita)</t>
        </is>
      </c>
    </row>
    <row r="20" ht="15" customHeight="1" s="48">
      <c r="A20" s="58" t="inlineStr">
        <is>
          <t>Mana</t>
        </is>
      </c>
      <c r="B20" s="59" t="inlineStr">
        <is>
          <t>Ciocan</t>
        </is>
      </c>
      <c r="C20" s="74" t="inlineStr">
        <is>
          <t>Esential</t>
        </is>
      </c>
      <c r="D20" s="85" t="n"/>
      <c r="E20" s="85" t="n"/>
      <c r="F20" s="85" t="n"/>
      <c r="G20" s="85" t="n"/>
      <c r="H20" s="59" t="n"/>
    </row>
    <row r="21" ht="15" customHeight="1" s="48">
      <c r="A21" s="58" t="inlineStr">
        <is>
          <t>Mana</t>
        </is>
      </c>
      <c r="B21" s="59" t="inlineStr">
        <is>
          <t>Set biti / surubelnite</t>
        </is>
      </c>
      <c r="C21" s="74" t="inlineStr">
        <is>
          <t>Esential</t>
        </is>
      </c>
      <c r="D21" s="85" t="n"/>
      <c r="E21" s="85" t="n"/>
      <c r="F21" s="85" t="n"/>
      <c r="G21" s="85" t="n"/>
      <c r="H21" s="59" t="n"/>
    </row>
    <row r="22" ht="16.5" customHeight="1" s="48">
      <c r="A22" s="58" t="inlineStr">
        <is>
          <t>Mana</t>
        </is>
      </c>
      <c r="B22" s="59" t="inlineStr">
        <is>
          <t>Dalta de lemn</t>
        </is>
      </c>
      <c r="C22" s="72" t="inlineStr">
        <is>
          <t>Util</t>
        </is>
      </c>
      <c r="D22" s="85" t="n"/>
      <c r="E22" s="85" t="n"/>
      <c r="F22" s="85" t="n"/>
      <c r="G22" s="85" t="n"/>
      <c r="H22" s="59" t="inlineStr">
        <is>
          <t>Ajustari, decupaje</t>
        </is>
      </c>
    </row>
    <row r="23" ht="15" customHeight="1" s="48">
      <c r="A23" s="58" t="inlineStr">
        <is>
          <t>Mana</t>
        </is>
      </c>
      <c r="B23" s="59" t="inlineStr">
        <is>
          <t>Cleste</t>
        </is>
      </c>
      <c r="C23" s="72" t="inlineStr">
        <is>
          <t>Util</t>
        </is>
      </c>
      <c r="D23" s="85" t="n"/>
      <c r="E23" s="85" t="n"/>
      <c r="F23" s="85" t="n"/>
      <c r="G23" s="85" t="n"/>
      <c r="H23" s="59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58" t="inlineStr">
        <is>
          <t>Prindere</t>
        </is>
      </c>
      <c r="B25" s="59" t="inlineStr">
        <is>
          <t>Cleme / menghine (clamps) — 2 pana la 4 buc</t>
        </is>
      </c>
      <c r="C25" s="74" t="inlineStr">
        <is>
          <t>Esential</t>
        </is>
      </c>
      <c r="D25" s="85" t="n"/>
      <c r="E25" s="85" t="n"/>
      <c r="F25" s="85" t="n"/>
      <c r="G25" s="85" t="n"/>
      <c r="H25" s="59" t="inlineStr">
        <is>
          <t>Tin piesele fixe cat insurubezi (vital in doi)</t>
        </is>
      </c>
    </row>
    <row r="26" ht="16.5" customHeight="1" s="48">
      <c r="A26" s="58" t="inlineStr">
        <is>
          <t>Acces</t>
        </is>
      </c>
      <c r="B26" s="59" t="inlineStr">
        <is>
          <t>Scara / schela mica</t>
        </is>
      </c>
      <c r="C26" s="74" t="inlineStr">
        <is>
          <t>Esential</t>
        </is>
      </c>
      <c r="D26" s="85" t="n"/>
      <c r="E26" s="85" t="n"/>
      <c r="F26" s="85" t="n"/>
      <c r="G26" s="85" t="n"/>
      <c r="H26" s="59" t="inlineStr">
        <is>
          <t>Lucru la ~2 m</t>
        </is>
      </c>
    </row>
    <row r="27" ht="15" customHeight="1" s="48">
      <c r="A27" s="58" t="inlineStr">
        <is>
          <t>Acces</t>
        </is>
      </c>
      <c r="B27" s="59" t="inlineStr">
        <is>
          <t>Capre de taiat (banc improvizat)</t>
        </is>
      </c>
      <c r="C27" s="72" t="inlineStr">
        <is>
          <t>Util</t>
        </is>
      </c>
      <c r="D27" s="85" t="n"/>
      <c r="E27" s="85" t="n"/>
      <c r="F27" s="85" t="n"/>
      <c r="G27" s="85" t="n"/>
      <c r="H27" s="59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58" t="inlineStr">
        <is>
          <t>Protectie</t>
        </is>
      </c>
      <c r="B29" s="59" t="inlineStr">
        <is>
          <t>Ochelari de protectie</t>
        </is>
      </c>
      <c r="C29" s="74" t="inlineStr">
        <is>
          <t>Esential</t>
        </is>
      </c>
      <c r="D29" s="85" t="n"/>
      <c r="E29" s="85" t="n"/>
      <c r="F29" s="85" t="n"/>
      <c r="G29" s="85" t="n"/>
      <c r="H29" s="59" t="n"/>
    </row>
    <row r="30" ht="15" customHeight="1" s="48">
      <c r="A30" s="58" t="inlineStr">
        <is>
          <t>Protectie</t>
        </is>
      </c>
      <c r="B30" s="59" t="inlineStr">
        <is>
          <t>Manusi de lucru</t>
        </is>
      </c>
      <c r="C30" s="74" t="inlineStr">
        <is>
          <t>Esential</t>
        </is>
      </c>
      <c r="D30" s="85" t="n"/>
      <c r="E30" s="85" t="n"/>
      <c r="F30" s="85" t="n"/>
      <c r="G30" s="85" t="n"/>
      <c r="H30" s="59" t="n"/>
    </row>
    <row r="31" ht="16.5" customHeight="1" s="48">
      <c r="A31" s="58" t="inlineStr">
        <is>
          <t>Protectie</t>
        </is>
      </c>
      <c r="B31" s="59" t="inlineStr">
        <is>
          <t>Antifoane</t>
        </is>
      </c>
      <c r="C31" s="74" t="inlineStr">
        <is>
          <t>Esential</t>
        </is>
      </c>
      <c r="D31" s="85" t="n"/>
      <c r="E31" s="85" t="n"/>
      <c r="F31" s="85" t="n"/>
      <c r="G31" s="85" t="n"/>
      <c r="H31" s="59" t="inlineStr">
        <is>
          <t>La circular/pendular</t>
        </is>
      </c>
    </row>
    <row r="32" ht="15" customHeight="1" s="48">
      <c r="A32" s="58" t="inlineStr">
        <is>
          <t>Protectie</t>
        </is>
      </c>
      <c r="B32" s="59" t="inlineStr">
        <is>
          <t>Masca de praf</t>
        </is>
      </c>
      <c r="C32" s="72" t="inlineStr">
        <is>
          <t>Util</t>
        </is>
      </c>
      <c r="D32" s="85" t="n"/>
      <c r="E32" s="85" t="n"/>
      <c r="F32" s="85" t="n"/>
      <c r="G32" s="85" t="n"/>
      <c r="H32" s="59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58" t="inlineStr">
        <is>
          <t>Finisaj</t>
        </is>
      </c>
      <c r="B34" s="59" t="inlineStr">
        <is>
          <t>Pensula + trafalet</t>
        </is>
      </c>
      <c r="C34" s="72" t="inlineStr">
        <is>
          <t>la finisaj</t>
        </is>
      </c>
      <c r="D34" s="85" t="n"/>
      <c r="E34" s="85" t="n"/>
      <c r="F34" s="85" t="n"/>
      <c r="G34" s="85" t="n"/>
      <c r="H34" s="59" t="inlineStr">
        <is>
          <t>Ulei pe larice + protectie structura</t>
        </is>
      </c>
    </row>
    <row r="35">
      <c r="A35" s="58" t="inlineStr">
        <is>
          <t>Diverse</t>
        </is>
      </c>
      <c r="B35" s="59" t="inlineStr">
        <is>
          <t>Distantier 5 mm (un cui)</t>
        </is>
      </c>
      <c r="C35" s="63" t="inlineStr">
        <is>
          <t>gratis</t>
        </is>
      </c>
      <c r="D35" s="85" t="n"/>
      <c r="E35" s="85" t="n"/>
      <c r="F35" s="85" t="n"/>
      <c r="G35" s="85" t="n"/>
      <c r="H35" s="59" t="inlineStr">
        <is>
          <t>Golul egal intre scandurile de dusumea</t>
        </is>
      </c>
    </row>
    <row r="36" ht="15" customHeight="1" s="48">
      <c r="A36" s="58" t="inlineStr">
        <is>
          <t>Diverse</t>
        </is>
      </c>
      <c r="B36" s="59" t="inlineStr">
        <is>
          <t>Galeata, carpe, perie</t>
        </is>
      </c>
      <c r="C36" s="72" t="inlineStr">
        <is>
          <t>Util</t>
        </is>
      </c>
      <c r="D36" s="85" t="n"/>
      <c r="E36" s="85" t="n"/>
      <c r="F36" s="85" t="n"/>
      <c r="G36" s="85" t="n"/>
      <c r="H36" s="59" t="n"/>
    </row>
    <row r="37"/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2026-06-08T17:56:37Z</dcterms:modified>
  <cp:revision>0</cp:revision>
</cp:coreProperties>
</file>