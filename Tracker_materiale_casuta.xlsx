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teriale" sheetId="1" state="visible" r:id="rId3"/>
    <sheet name="Debitare" sheetId="2" state="visible" r:id="rId4"/>
    <sheet name="Platforma premium" sheetId="3" state="visible" r:id="rId5"/>
    <sheet name="Comanda Hornbach" sheetId="4" state="visible" r:id="rId6"/>
    <sheet name="Scul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<sst xmlns="http://schemas.openxmlformats.org/spreadsheetml/2006/main" count="708" uniqueCount="433">
  <si>
    <t xml:space="preserve">CASUTA DIN COPAC  ·  Tracker materiale</t>
  </si>
  <si>
    <t xml:space="preserve">Proiect cu Tudor (11 ani)  ·  casuta pe 4 stalpi + terasa cu copac integrat  ·  actualizat manual pe masura ce cumparam</t>
  </si>
  <si>
    <t xml:space="preserve">Buget (lei)</t>
  </si>
  <si>
    <t xml:space="preserve">Cheltuit — cumparat</t>
  </si>
  <si>
    <t xml:space="preserve">De cumparat (estimat)</t>
  </si>
  <si>
    <t xml:space="preserve">De decis (estimat)</t>
  </si>
  <si>
    <t xml:space="preserve">Total estimat</t>
  </si>
  <si>
    <t xml:space="preserve">Ramas din buget</t>
  </si>
  <si>
    <t xml:space="preserve">Categorie</t>
  </si>
  <si>
    <t xml:space="preserve">Produs / material</t>
  </si>
  <si>
    <t xml:space="preserve">Specificatie</t>
  </si>
  <si>
    <t xml:space="preserve">Magazin</t>
  </si>
  <si>
    <t xml:space="preserve">Cod produs</t>
  </si>
  <si>
    <t xml:space="preserve">Cant.</t>
  </si>
  <si>
    <t xml:space="preserve">UM</t>
  </si>
  <si>
    <t xml:space="preserve">Pret unitar</t>
  </si>
  <si>
    <t xml:space="preserve">Total</t>
  </si>
  <si>
    <t xml:space="preserve">Status</t>
  </si>
  <si>
    <t xml:space="preserve">Link</t>
  </si>
  <si>
    <t xml:space="preserve">Note</t>
  </si>
  <si>
    <t xml:space="preserve">Structura</t>
  </si>
  <si>
    <t xml:space="preserve">Stalpi KVH (portanti)</t>
  </si>
  <si>
    <t xml:space="preserve">4000x100x100 mm</t>
  </si>
  <si>
    <t xml:space="preserve">Hornbach</t>
  </si>
  <si>
    <t xml:space="preserve">7337253</t>
  </si>
  <si>
    <t xml:space="preserve">buc</t>
  </si>
  <si>
    <t xml:space="preserve">Cumparat</t>
  </si>
  <si>
    <t xml:space="preserve">Cei 4 stalpi principali ai casutei</t>
  </si>
  <si>
    <t xml:space="preserve">Stoc nealocat</t>
  </si>
  <si>
    <t xml:space="preserve">Stalpi grinda nerindeluita</t>
  </si>
  <si>
    <t xml:space="preserve">100x100x4000 mm</t>
  </si>
  <si>
    <t xml:space="preserve">Leroy Merlin</t>
  </si>
  <si>
    <t xml:space="preserve">11877411</t>
  </si>
  <si>
    <t xml:space="preserve">Nerindeluiti — cumparati, fara utilizare alocata inca; posibil fundatie terasa/scara</t>
  </si>
  <si>
    <t xml:space="preserve">Suport metalic stalp pe beton</t>
  </si>
  <si>
    <t xml:space="preserve">pt 100x100 mm</t>
  </si>
  <si>
    <t xml:space="preserve">De decis</t>
  </si>
  <si>
    <t xml:space="preserve">Doar daca fundatiile NU au mustati/buloane turnate</t>
  </si>
  <si>
    <t xml:space="preserve">Cadru</t>
  </si>
  <si>
    <t xml:space="preserve">Grinzi perimetrale (rama)</t>
  </si>
  <si>
    <t xml:space="preserve">KVH 80x140x4000</t>
  </si>
  <si>
    <t xml:space="preserve">De cumparat</t>
  </si>
  <si>
    <t xml:space="preserve">Rama portanta a platformei, peste stalpi</t>
  </si>
  <si>
    <t xml:space="preserve">Traverse podea (solute)</t>
  </si>
  <si>
    <t xml:space="preserve">60x100, interax ~40cm</t>
  </si>
  <si>
    <t xml:space="preserve">Sustin podeaua intre grinzi</t>
  </si>
  <si>
    <t xml:space="preserve">Podea</t>
  </si>
  <si>
    <t xml:space="preserve">Dusumea / scandura podea</t>
  </si>
  <si>
    <t xml:space="preserve">28x120 mm</t>
  </si>
  <si>
    <t xml:space="preserve">Podea casuta + terasa</t>
  </si>
  <si>
    <t xml:space="preserve">Terasa</t>
  </si>
  <si>
    <t xml:space="preserve">Grinzi suport terasa</t>
  </si>
  <si>
    <t xml:space="preserve">80x100 mm</t>
  </si>
  <si>
    <t xml:space="preserve">Nivel mai jos, in jurul copacului — decupaj trunchi</t>
  </si>
  <si>
    <t xml:space="preserve">Balustrada</t>
  </si>
  <si>
    <t xml:space="preserve">Stalpisori balustrada</t>
  </si>
  <si>
    <t xml:space="preserve">58x58, h=100cm</t>
  </si>
  <si>
    <t xml:space="preserve">Obligatoriu la 2m inaltime</t>
  </si>
  <si>
    <t xml:space="preserve">Sipci umplutura</t>
  </si>
  <si>
    <t xml:space="preserve">18x18 / sipca</t>
  </si>
  <si>
    <t xml:space="preserve">Goluri &lt;9 cm (siguranta copil)</t>
  </si>
  <si>
    <t xml:space="preserve">Pereti</t>
  </si>
  <si>
    <t xml:space="preserve">Scanduri pereti partiali</t>
  </si>
  <si>
    <t xml:space="preserve">28x90 mm</t>
  </si>
  <si>
    <t xml:space="preserve">Pereti pana la jumatate + ferestre</t>
  </si>
  <si>
    <t xml:space="preserve">Acoperis</t>
  </si>
  <si>
    <t xml:space="preserve">Capriori acoperis</t>
  </si>
  <si>
    <t xml:space="preserve">60x80 mm</t>
  </si>
  <si>
    <t xml:space="preserve">Structura acoperis inclinat</t>
  </si>
  <si>
    <t xml:space="preserve">Invelitoare (policarbonat/scandura)</t>
  </si>
  <si>
    <t xml:space="preserve">-</t>
  </si>
  <si>
    <t xml:space="preserve">set</t>
  </si>
  <si>
    <t xml:space="preserve">Policarbonat ondulat sau sindrila bituminoasa</t>
  </si>
  <si>
    <t xml:space="preserve">Scara</t>
  </si>
  <si>
    <t xml:space="preserve">Scara fixa + balustrada</t>
  </si>
  <si>
    <t xml:space="preserve">Cu balustrada, NU franghie</t>
  </si>
  <si>
    <t xml:space="preserve">Feronerie</t>
  </si>
  <si>
    <t xml:space="preserve">Suruburi structurale Torx</t>
  </si>
  <si>
    <t xml:space="preserve">6x200 mm, pac 100</t>
  </si>
  <si>
    <t xml:space="preserve">pac</t>
  </si>
  <si>
    <t xml:space="preserve">Imbinari grinzi/stalpi</t>
  </si>
  <si>
    <t xml:space="preserve">Suruburi podea/terasa</t>
  </si>
  <si>
    <t xml:space="preserve">5x70 mm</t>
  </si>
  <si>
    <t xml:space="preserve">Prindere dusumea</t>
  </si>
  <si>
    <t xml:space="preserve">Coltare metalice imbinare</t>
  </si>
  <si>
    <t xml:space="preserve">Alberts</t>
  </si>
  <si>
    <t xml:space="preserve">Intarire colturi cadru</t>
  </si>
  <si>
    <t xml:space="preserve">Buloane M10 + piulite autoblocante</t>
  </si>
  <si>
    <t xml:space="preserve">Fixare grinzi principale pe stalpi</t>
  </si>
  <si>
    <t xml:space="preserve">Finisaj</t>
  </si>
  <si>
    <t xml:space="preserve">Vopsea protectie lemn exterior</t>
  </si>
  <si>
    <t xml:space="preserve">Wetterschutz 6 l</t>
  </si>
  <si>
    <t xml:space="preserve">Protectie intemperii</t>
  </si>
  <si>
    <t xml:space="preserve">Grund izolare lemn</t>
  </si>
  <si>
    <t xml:space="preserve">2,5 l</t>
  </si>
  <si>
    <t xml:space="preserve">Strat de baza inainte de vopsea</t>
  </si>
  <si>
    <t xml:space="preserve">Siguranta</t>
  </si>
  <si>
    <t xml:space="preserve">Material sol moale</t>
  </si>
  <si>
    <t xml:space="preserve">scoarta/nisip</t>
  </si>
  <si>
    <t xml:space="preserve">lot</t>
  </si>
  <si>
    <t xml:space="preserve">Sub platforma — amortizare cadere</t>
  </si>
  <si>
    <t xml:space="preserve">Joaca</t>
  </si>
  <si>
    <t xml:space="preserve">Tobogan</t>
  </si>
  <si>
    <t xml:space="preserve">Extra, optional</t>
  </si>
  <si>
    <t xml:space="preserve">Franghie catarare / scripete cu galeata</t>
  </si>
  <si>
    <t xml:space="preserve">Legenda status:</t>
  </si>
  <si>
    <t xml:space="preserve">Preturile goale se completeaza in magazin. Total se calculeaza automat (Cant. x Pret unitar).</t>
  </si>
  <si>
    <t xml:space="preserve">CASUTA DIN COPAC  ·  Plan de debitare (cut list)</t>
  </si>
  <si>
    <t xml:space="preserve">Structura blocata: stalpi spate 4m continui · stalpi fata taiati la podea +2200 · joiste Leroy fata-spate (consola 700) · pereti imbracati (bracaj) · acoperis 1 apa doar peste casuta</t>
  </si>
  <si>
    <t xml:space="preserve">Poz.</t>
  </si>
  <si>
    <t xml:space="preserve">Element</t>
  </si>
  <si>
    <t xml:space="preserve">Sectiune</t>
  </si>
  <si>
    <t xml:space="preserve">Lung. taiere (mm)</t>
  </si>
  <si>
    <t xml:space="preserve">Buc</t>
  </si>
  <si>
    <t xml:space="preserve">Sursa</t>
  </si>
  <si>
    <t xml:space="preserve">STRUCTURA PORTANTA</t>
  </si>
  <si>
    <t xml:space="preserve">P1</t>
  </si>
  <si>
    <t xml:space="preserve">Stalpi spate (inalti)</t>
  </si>
  <si>
    <t xml:space="preserve">KVH 100×100</t>
  </si>
  <si>
    <t xml:space="preserve">~3800</t>
  </si>
  <si>
    <t xml:space="preserve">2</t>
  </si>
  <si>
    <t xml:space="preserve">AVEM</t>
  </si>
  <si>
    <t xml:space="preserve">Continui pamant→acoperis; dau coama (latura inalta). Taiere finala pe loc.</t>
  </si>
  <si>
    <t xml:space="preserve">P2</t>
  </si>
  <si>
    <t xml:space="preserve">Stalpi fata (la podea)</t>
  </si>
  <si>
    <t xml:space="preserve">2200</t>
  </si>
  <si>
    <t xml:space="preserve">Taiati la nivel podea. Offcut ~1800×2 il pastram pentru contrafise/blocuri.</t>
  </si>
  <si>
    <t xml:space="preserve">P3</t>
  </si>
  <si>
    <t xml:space="preserve">Grinzi principale (fata+spate)</t>
  </si>
  <si>
    <t xml:space="preserve">KVH 80×140 DUBLAT</t>
  </si>
  <si>
    <t xml:space="preserve">~2300</t>
  </si>
  <si>
    <t xml:space="preserve">4</t>
  </si>
  <si>
    <t xml:space="preserve">NOU</t>
  </si>
  <si>
    <t xml:space="preserve">2 grinzi, fiecare dublata. Bulonate M12 in stalpi. Componenta critica.</t>
  </si>
  <si>
    <t xml:space="preserve">P4</t>
  </si>
  <si>
    <t xml:space="preserve">Joiste podea</t>
  </si>
  <si>
    <t xml:space="preserve">100×100</t>
  </si>
  <si>
    <t xml:space="preserve">~2550</t>
  </si>
  <si>
    <t xml:space="preserve">6</t>
  </si>
  <si>
    <t xml:space="preserve">4 AVEM + 2 NOU</t>
  </si>
  <si>
    <t xml:space="preserve">Leroy</t>
  </si>
  <si>
    <t xml:space="preserve">Fata-spate (consola 700), CONTINUE. Pozitii de la S4: 0/360/660/1100/1575/2100 — ocolesc trunchiul.</t>
  </si>
  <si>
    <t xml:space="preserve">P4b</t>
  </si>
  <si>
    <t xml:space="preserve">Rama gaura copac (headers)</t>
  </si>
  <si>
    <t xml:space="preserve">din offcut 100×100</t>
  </si>
  <si>
    <t xml:space="preserve">~300</t>
  </si>
  <si>
    <t xml:space="preserve">DIN OFFCUT</t>
  </si>
  <si>
    <t xml:space="preserve">Doua traverse scurte intre joistele de la 360 si 660, sus+jos in jurul gaurii. Sustin capetele dusumelei.</t>
  </si>
  <si>
    <t xml:space="preserve">P5</t>
  </si>
  <si>
    <t xml:space="preserve">PODEA</t>
  </si>
  <si>
    <t xml:space="preserve">P6</t>
  </si>
  <si>
    <t xml:space="preserve">PERETI CASUTA (bracaj)</t>
  </si>
  <si>
    <t xml:space="preserve">P7</t>
  </si>
  <si>
    <t xml:space="preserve">Talpi + coronament pereti</t>
  </si>
  <si>
    <t xml:space="preserve">50×80</t>
  </si>
  <si>
    <t xml:space="preserve">var</t>
  </si>
  <si>
    <t xml:space="preserve">~6</t>
  </si>
  <si>
    <t xml:space="preserve">oricare</t>
  </si>
  <si>
    <t xml:space="preserve">Plate sus/jos pe cele 4 laturi (gol usa spre balcon).</t>
  </si>
  <si>
    <t xml:space="preserve">P8</t>
  </si>
  <si>
    <t xml:space="preserve">Montanti pereti</t>
  </si>
  <si>
    <t xml:space="preserve">~1400</t>
  </si>
  <si>
    <t xml:space="preserve">~14</t>
  </si>
  <si>
    <t xml:space="preserve">Interax 600 mm. Mai inalti in spate (latura coamei).</t>
  </si>
  <si>
    <t xml:space="preserve">P9</t>
  </si>
  <si>
    <t xml:space="preserve">ACOPERIS (1 apa, doar casuta)</t>
  </si>
  <si>
    <t xml:space="preserve">P10</t>
  </si>
  <si>
    <t xml:space="preserve">Capriori</t>
  </si>
  <si>
    <t xml:space="preserve">60×100</t>
  </si>
  <si>
    <t xml:space="preserve">Panta spre gradina, mic streasin in spate.</t>
  </si>
  <si>
    <t xml:space="preserve">P11</t>
  </si>
  <si>
    <t xml:space="preserve">Astereala acoperis</t>
  </si>
  <si>
    <t xml:space="preserve">OSB3 / scandura</t>
  </si>
  <si>
    <t xml:space="preserve">2500×1250</t>
  </si>
  <si>
    <t xml:space="preserve">1 placa</t>
  </si>
  <si>
    <t xml:space="preserve">Suport invelitoare.</t>
  </si>
  <si>
    <t xml:space="preserve">P12</t>
  </si>
  <si>
    <t xml:space="preserve">BALUSTRADA BALCON (3 laturi)</t>
  </si>
  <si>
    <t xml:space="preserve">P13</t>
  </si>
  <si>
    <t xml:space="preserve">58×58</t>
  </si>
  <si>
    <t xml:space="preserve">1000</t>
  </si>
  <si>
    <t xml:space="preserve">7</t>
  </si>
  <si>
    <t xml:space="preserve">Interax ~900 mm, inclusiv pe nasul consolei.</t>
  </si>
  <si>
    <t xml:space="preserve">P14</t>
  </si>
  <si>
    <t xml:space="preserve">Mana curenta + rigla jos</t>
  </si>
  <si>
    <t xml:space="preserve">45×70</t>
  </si>
  <si>
    <t xml:space="preserve">~9 m total</t>
  </si>
  <si>
    <t xml:space="preserve">Sus si jos, jur-imprejur.</t>
  </si>
  <si>
    <t xml:space="preserve">P15</t>
  </si>
  <si>
    <t xml:space="preserve">SCARA</t>
  </si>
  <si>
    <t xml:space="preserve">P16</t>
  </si>
  <si>
    <t xml:space="preserve">Coarde scara</t>
  </si>
  <si>
    <t xml:space="preserve">50×150</t>
  </si>
  <si>
    <t xml:space="preserve">~2900</t>
  </si>
  <si>
    <t xml:space="preserve">Panta de la sol/balcon la podea.</t>
  </si>
  <si>
    <t xml:space="preserve">P17</t>
  </si>
  <si>
    <t xml:space="preserve">Trepte</t>
  </si>
  <si>
    <t xml:space="preserve">40×200</t>
  </si>
  <si>
    <t xml:space="preserve">600</t>
  </si>
  <si>
    <t xml:space="preserve">8</t>
  </si>
  <si>
    <t xml:space="preserve">Trepte solide.</t>
  </si>
  <si>
    <t xml:space="preserve">P18</t>
  </si>
  <si>
    <t xml:space="preserve">MASA-COPAC</t>
  </si>
  <si>
    <t xml:space="preserve">P19</t>
  </si>
  <si>
    <t xml:space="preserve">Blat masa</t>
  </si>
  <si>
    <t xml:space="preserve">panou / scandura lipita ~Ø500</t>
  </si>
  <si>
    <t xml:space="preserve">1</t>
  </si>
  <si>
    <t xml:space="preserve">NOU/offcut</t>
  </si>
  <si>
    <t xml:space="preserve">Fixat de PODEA prin cadru propriu, NU de copac. Capat trunchi tesit+capac.</t>
  </si>
  <si>
    <t xml:space="preserve">P20</t>
  </si>
  <si>
    <t xml:space="preserve">FERONERIE</t>
  </si>
  <si>
    <t xml:space="preserve">P21</t>
  </si>
  <si>
    <t xml:space="preserve">Buloane M12 + piulite + saibe</t>
  </si>
  <si>
    <t xml:space="preserve">M12 ×~180</t>
  </si>
  <si>
    <t xml:space="preserve">16</t>
  </si>
  <si>
    <t xml:space="preserve">Grinzi → stalpi. Traseu principal de greutate.</t>
  </si>
  <si>
    <t xml:space="preserve">P22</t>
  </si>
  <si>
    <t xml:space="preserve">Coltare metalice</t>
  </si>
  <si>
    <t xml:space="preserve">intariri imbinari</t>
  </si>
  <si>
    <t xml:space="preserve">12</t>
  </si>
  <si>
    <t xml:space="preserve">Joiste → grinzi, colturi cadru.</t>
  </si>
  <si>
    <t xml:space="preserve">P23</t>
  </si>
  <si>
    <t xml:space="preserve">6×200, pac 100</t>
  </si>
  <si>
    <t xml:space="preserve">1 pac</t>
  </si>
  <si>
    <t xml:space="preserve">Imbinari lemn-lemn.</t>
  </si>
  <si>
    <t xml:space="preserve">P24</t>
  </si>
  <si>
    <t xml:space="preserve">FINISAJ + SOL</t>
  </si>
  <si>
    <t xml:space="preserve">P25</t>
  </si>
  <si>
    <t xml:space="preserve">Strat de baza.</t>
  </si>
  <si>
    <t xml:space="preserve">P26</t>
  </si>
  <si>
    <t xml:space="preserve">Vopsea protectie exterior</t>
  </si>
  <si>
    <t xml:space="preserve">6 l</t>
  </si>
  <si>
    <t xml:space="preserve">Wetterschutz sau similar.</t>
  </si>
  <si>
    <t xml:space="preserve">P27</t>
  </si>
  <si>
    <t xml:space="preserve">Sol moale sub platforma</t>
  </si>
  <si>
    <t xml:space="preserve">scoarta / nisip</t>
  </si>
  <si>
    <t xml:space="preserve">~5 m²</t>
  </si>
  <si>
    <t xml:space="preserve">1 lot</t>
  </si>
  <si>
    <t xml:space="preserve">Amortizare cadere. NU beton/piatra dedesubt.</t>
  </si>
  <si>
    <t xml:space="preserve">Note:</t>
  </si>
  <si>
    <t xml:space="preserve">Ancorele de fundatie sunt deja in pamant → nu cumparam suporti de stalp. Cantitatile de dusumea/sipci/placaj sunt estimate; le confirmam la magazin dupa sectiunile finale de scandura.</t>
  </si>
  <si>
    <t xml:space="preserve">CASUTA DIN COPAC  ·  Materiale PREMIUM — Faza platforma (stalpi + podea + scara)</t>
  </si>
  <si>
    <t xml:space="preserve">Sursa: HORNBACH (preferinta 1) + papuc/joiste Leroy. Grinzi glulam · suruburi Heco · grinda spate pe POLITA + M12 · baza pe papuc U · scara inclusa.</t>
  </si>
  <si>
    <t xml:space="preserve">Produs premium</t>
  </si>
  <si>
    <t xml:space="preserve">Pret unit. (lei)</t>
  </si>
  <si>
    <t xml:space="preserve">Cant</t>
  </si>
  <si>
    <t xml:space="preserve">Rol / imbinare</t>
  </si>
  <si>
    <t xml:space="preserve">Stoc</t>
  </si>
  <si>
    <t xml:space="preserve">STRUCTURA</t>
  </si>
  <si>
    <t xml:space="preserve">Stalpi</t>
  </si>
  <si>
    <t xml:space="preserve">Stalpi KVH 100×100×4000 (AVEM)</t>
  </si>
  <si>
    <t xml:space="preserve">Stalpi spate (4m) + fata (taiati 1872)</t>
  </si>
  <si>
    <t xml:space="preserve">Baza</t>
  </si>
  <si>
    <t xml:space="preserve">Papuc reazem U 101×100, otel 4 mm (in beton)</t>
  </si>
  <si>
    <t xml:space="preserve">Baza stalpilor; stalpul intra in U</t>
  </si>
  <si>
    <t xml:space="preserve">Buloane M12×180 + piulita + saiba</t>
  </si>
  <si>
    <t xml:space="preserve">4× polita grinda spate + 8× baza stalpi (2/papuc)</t>
  </si>
  <si>
    <t xml:space="preserve">Joiste</t>
  </si>
  <si>
    <t xml:space="preserve">Grinda 100×100×4000 (AVEM)</t>
  </si>
  <si>
    <t xml:space="preserve">Joiste podea fata-spate (consola 700)</t>
  </si>
  <si>
    <t xml:space="preserve">KVH 100×100×4000 — inca 2 joiste</t>
  </si>
  <si>
    <t xml:space="preserve">Completare la 6 joiste (interax ~430)</t>
  </si>
  <si>
    <t xml:space="preserve">Grinzi</t>
  </si>
  <si>
    <t xml:space="preserve">Grinda lamelara Glulam 90×200×4000</t>
  </si>
  <si>
    <t xml:space="preserve">Grinzi principale; fata pe varf, spate pe POLITA</t>
  </si>
  <si>
    <t xml:space="preserve">Polita lemn (din offcut 100×100)</t>
  </si>
  <si>
    <t xml:space="preserve">Sub grinda spate, bulonata cu M12</t>
  </si>
  <si>
    <t xml:space="preserve">OFFCUT</t>
  </si>
  <si>
    <t xml:space="preserve">Dusumea</t>
  </si>
  <si>
    <t xml:space="preserve">Lemn terasa larice Konsta 28×145×3000</t>
  </si>
  <si>
    <t xml:space="preserve">Dusumea premium 28mm</t>
  </si>
  <si>
    <t xml:space="preserve">IMBINARI</t>
  </si>
  <si>
    <t xml:space="preserve">Conectori</t>
  </si>
  <si>
    <t xml:space="preserve">Coltar rigidizat Alberts 100×100×90×3</t>
  </si>
  <si>
    <t xml:space="preserve">Grinda FATA → stalp (pe varf)</t>
  </si>
  <si>
    <t xml:space="preserve">Coltar rigidizat Alberts 90×90×65</t>
  </si>
  <si>
    <t xml:space="preserve">Joiste → grinda, anti-ridicare</t>
  </si>
  <si>
    <t xml:space="preserve">Suruburi</t>
  </si>
  <si>
    <t xml:space="preserve">Heco Topix-Plus 8×200 Torx (100 buc)</t>
  </si>
  <si>
    <t xml:space="preserve">Imbinari structurale, fara pre-gaurire</t>
  </si>
  <si>
    <t xml:space="preserve">Heco Topix-Plus 6×100 inox A2 (100 buc)</t>
  </si>
  <si>
    <t xml:space="preserve">Coltare, conectori, contrafise</t>
  </si>
  <si>
    <t xml:space="preserve">Heco Topix-Plus 6×80 (100 buc)</t>
  </si>
  <si>
    <t xml:space="preserve">Blocaje, prinderi generale</t>
  </si>
  <si>
    <t xml:space="preserve">Suruburi inox A2 5×60 dusumea (200)</t>
  </si>
  <si>
    <t xml:space="preserve">Prindere dusumea larice</t>
  </si>
  <si>
    <t xml:space="preserve">De cumparat (est.)</t>
  </si>
  <si>
    <t xml:space="preserve">Coarde scara KVH 60×140×3000</t>
  </si>
  <si>
    <t xml:space="preserve">Cele 2 grinzi inclinate (~2,9 m)</t>
  </si>
  <si>
    <t xml:space="preserve">Trepte larice/dulap 45×190 ~600 mm</t>
  </si>
  <si>
    <t xml:space="preserve">11 trepte (riser 200, calcai 190)</t>
  </si>
  <si>
    <t xml:space="preserve">Mana curenta + stalpisori (lemn)</t>
  </si>
  <si>
    <t xml:space="preserve">Pe ambele parti</t>
  </si>
  <si>
    <t xml:space="preserve">Feronerie scara (coltare + Heco + 2× M10)</t>
  </si>
  <si>
    <t xml:space="preserve">Prindere de platforma + trepte</t>
  </si>
  <si>
    <t xml:space="preserve">Dala/paver baza scara</t>
  </si>
  <si>
    <t xml:space="preserve">Sub coarde, sa nu stea in pamant</t>
  </si>
  <si>
    <t xml:space="preserve">FINISAJ</t>
  </si>
  <si>
    <t xml:space="preserve">Ulei lemn tec Hornbach Plus 2,5 l</t>
  </si>
  <si>
    <t xml:space="preserve">Dusumea larice + grinzi/scara expuse</t>
  </si>
  <si>
    <t xml:space="preserve">Lazura/protectie exterior structura</t>
  </si>
  <si>
    <t xml:space="preserve">Stalpi + joiste + capete</t>
  </si>
  <si>
    <t xml:space="preserve">TOTAL platforma:</t>
  </si>
  <si>
    <t xml:space="preserve">din care DE CUMPARAT:</t>
  </si>
  <si>
    <t xml:space="preserve">Scara: 11 trepte, riser 200 / calcai 190, ~49°, latime 600, mana curenta pe ambele parti, poarta la S4. Preturi 'est.' = de confirmat la magazin.</t>
  </si>
  <si>
    <t xml:space="preserve">CASUTA DIN COPAC  ·  COMANDA HORNBACH (in cos)</t>
  </si>
  <si>
    <t xml:space="preserve">13 produse in cos. Coloana 'Cod piesa' leaga fiecare linie de catalogul de piese. + livrare 215 lei.</t>
  </si>
  <si>
    <t xml:space="preserve">Produs (Hornbach)</t>
  </si>
  <si>
    <t xml:space="preserve">Cod piesa</t>
  </si>
  <si>
    <t xml:space="preserve">IN COS — adaugate</t>
  </si>
  <si>
    <t xml:space="preserve">5483835</t>
  </si>
  <si>
    <t xml:space="preserve">IN COS</t>
  </si>
  <si>
    <t xml:space="preserve">GR</t>
  </si>
  <si>
    <t xml:space="preserve">KVH 100×100×4000 (joiste in plus)</t>
  </si>
  <si>
    <t xml:space="preserve">JO</t>
  </si>
  <si>
    <t xml:space="preserve">6224073</t>
  </si>
  <si>
    <t xml:space="preserve">DL</t>
  </si>
  <si>
    <t xml:space="preserve">738965</t>
  </si>
  <si>
    <t xml:space="preserve">C1</t>
  </si>
  <si>
    <t xml:space="preserve">Coltar rigidizat Alberts 90×90×65×2,5</t>
  </si>
  <si>
    <t xml:space="preserve">738910</t>
  </si>
  <si>
    <t xml:space="preserve">C2</t>
  </si>
  <si>
    <t xml:space="preserve">Heco Topix-Plus 8×200 zincat (100 buc)</t>
  </si>
  <si>
    <t xml:space="preserve">10434633</t>
  </si>
  <si>
    <t xml:space="preserve">H1</t>
  </si>
  <si>
    <t xml:space="preserve">Heco Topix-Plus 6×100 ZINCAT albastru (100 buc)</t>
  </si>
  <si>
    <t xml:space="preserve">10434398</t>
  </si>
  <si>
    <t xml:space="preserve">H2</t>
  </si>
  <si>
    <t xml:space="preserve">Heco Topix-Plus 6×80 zincat (100 buc)</t>
  </si>
  <si>
    <t xml:space="preserve">10434139</t>
  </si>
  <si>
    <t xml:space="preserve">H3</t>
  </si>
  <si>
    <t xml:space="preserve">Suruburi terasa inox A2 5×60 (100 buc)</t>
  </si>
  <si>
    <t xml:space="preserve">10528829</t>
  </si>
  <si>
    <t xml:space="preserve">H4</t>
  </si>
  <si>
    <t xml:space="preserve">Surub hexagonal M12×120 inox A2 (25 buc) — baza papuc</t>
  </si>
  <si>
    <t xml:space="preserve">6834285</t>
  </si>
  <si>
    <t xml:space="preserve">B2</t>
  </si>
  <si>
    <t xml:space="preserve">Ulei lemn tec Hornbach Plus 2,5 l (dusumea)</t>
  </si>
  <si>
    <t xml:space="preserve">5509678</t>
  </si>
  <si>
    <t xml:space="preserve">F1</t>
  </si>
  <si>
    <t xml:space="preserve">Saibe late M12 13×30 zincat (100 buc)</t>
  </si>
  <si>
    <t xml:space="preserve">3840897</t>
  </si>
  <si>
    <t xml:space="preserve">B3</t>
  </si>
  <si>
    <t xml:space="preserve">Lazura impregnare Hornbach exterior 2,5 l (grund)</t>
  </si>
  <si>
    <t xml:space="preserve">12469765</t>
  </si>
  <si>
    <t xml:space="preserve">F2</t>
  </si>
  <si>
    <t xml:space="preserve">DE ADAUGAT (la magazin / alegerea ta)</t>
  </si>
  <si>
    <t xml:space="preserve">Bulon M12 POLITA lung ~200 (set cu piulita, 25 buc)</t>
  </si>
  <si>
    <t xml:space="preserve">de confirmat</t>
  </si>
  <si>
    <t xml:space="preserve">B1</t>
  </si>
  <si>
    <t xml:space="preserve">Piulite M12 — din raft la magazin</t>
  </si>
  <si>
    <t xml:space="preserve">B4</t>
  </si>
  <si>
    <t xml:space="preserve">Topcoat: lazura colorata / vopsea exterior (culoarea ta)</t>
  </si>
  <si>
    <t xml:space="preserve">F3</t>
  </si>
  <si>
    <t xml:space="preserve">KVH coarde scara ~60×140×3000 (Faza 2)</t>
  </si>
  <si>
    <t xml:space="preserve">—</t>
  </si>
  <si>
    <t xml:space="preserve">Trepte larice/dulap ~45×190, ~600 mm (Faza 2)</t>
  </si>
  <si>
    <t xml:space="preserve">Lemn mana curenta + stalpisori scara (Faza 2)</t>
  </si>
  <si>
    <t xml:space="preserve">Dala/paver baza scara (Faza 2)</t>
  </si>
  <si>
    <t xml:space="preserve">in cos:</t>
  </si>
  <si>
    <t xml:space="preserve">+ livrare:</t>
  </si>
  <si>
    <t xml:space="preserve">de adaugat:</t>
  </si>
  <si>
    <t xml:space="preserve">NOTA: Coloana 'Cod piesa' = legenda din catalogul de piese (catalog-piese.html). B1 = bulon M12 LUNG (~200) pt polita — masori grosimea reala inainte de comanda. B2 = M12×120 pt baza papuc (deja in cos). Piulitele M12 (B4) se iau din raft la magazin. Topcoatul colorat (F3) il alegi tu.</t>
  </si>
  <si>
    <t xml:space="preserve">CASUTA DIN COPAC  ·  Scule si unelte — Faza platforma</t>
  </si>
  <si>
    <t xml:space="preserve">Bifeaza ce ai / ce inchiriezi / ce cumperi. Heco NU cer pregaurire; pregauresti doar la buloanele M12.</t>
  </si>
  <si>
    <t xml:space="preserve">Scula / unealta</t>
  </si>
  <si>
    <t xml:space="preserve">Necesar</t>
  </si>
  <si>
    <t xml:space="preserve">Am</t>
  </si>
  <si>
    <t xml:space="preserve">Inchiriez</t>
  </si>
  <si>
    <t xml:space="preserve">Cumpar</t>
  </si>
  <si>
    <t xml:space="preserve">Pret est. (lei)</t>
  </si>
  <si>
    <t xml:space="preserve">ELECTRICE</t>
  </si>
  <si>
    <t xml:space="preserve">Electrice</t>
  </si>
  <si>
    <t xml:space="preserve">Masina de insurubat cu impact + biti Torx TX40 &amp; TX30</t>
  </si>
  <si>
    <t xml:space="preserve">Esential</t>
  </si>
  <si>
    <t xml:space="preserve">Inima montajului — pt suruburile Heco</t>
  </si>
  <si>
    <t xml:space="preserve">Bormasina + burghie de lemn</t>
  </si>
  <si>
    <t xml:space="preserve">Pregaurit DOAR la buloanele M12</t>
  </si>
  <si>
    <t xml:space="preserve">Fierastrau circular</t>
  </si>
  <si>
    <t xml:space="preserve">Inchiriaza</t>
  </si>
  <si>
    <t xml:space="preserve">60–90/zi</t>
  </si>
  <si>
    <t xml:space="preserve">Taiat stalpi (1872), grinzi, joiste, dusumea</t>
  </si>
  <si>
    <t xml:space="preserve">Fierastrau pendular</t>
  </si>
  <si>
    <t xml:space="preserve">Optional</t>
  </si>
  <si>
    <t xml:space="preserve">Decupajul gaurii pentru copac</t>
  </si>
  <si>
    <t xml:space="preserve">MASURAT &amp; TRASAT</t>
  </si>
  <si>
    <t xml:space="preserve">Masurat</t>
  </si>
  <si>
    <t xml:space="preserve">Nivela laser (sau nivela lunga 1–2 m)</t>
  </si>
  <si>
    <t xml:space="preserve">Transfer nivel pe toti 4 stalpii</t>
  </si>
  <si>
    <t xml:space="preserve">Nivela cu bula mica</t>
  </si>
  <si>
    <t xml:space="preserve">Verticalitatea stalpilor</t>
  </si>
  <si>
    <t xml:space="preserve">Ruleta 5 m + creion de tamplarie</t>
  </si>
  <si>
    <t xml:space="preserve">Sfoara de trasat (chalk line)</t>
  </si>
  <si>
    <t xml:space="preserve">Util</t>
  </si>
  <si>
    <t xml:space="preserve">Linii lungi drepte</t>
  </si>
  <si>
    <t xml:space="preserve">Echer mare (vinclu)</t>
  </si>
  <si>
    <t xml:space="preserve">Taieturi la 90°, colturi drepte</t>
  </si>
  <si>
    <t xml:space="preserve">SCULE DE MANA</t>
  </si>
  <si>
    <t xml:space="preserve">Mana</t>
  </si>
  <si>
    <t xml:space="preserve">Cheie cu clichet + tubulara 17/19</t>
  </si>
  <si>
    <t xml:space="preserve">Buloanele M12 (polita)</t>
  </si>
  <si>
    <t xml:space="preserve">Ciocan</t>
  </si>
  <si>
    <t xml:space="preserve">Set biti / surubelnite</t>
  </si>
  <si>
    <t xml:space="preserve">Dalta de lemn</t>
  </si>
  <si>
    <t xml:space="preserve">Ajustari, decupaje</t>
  </si>
  <si>
    <t xml:space="preserve">Cleste</t>
  </si>
  <si>
    <t xml:space="preserve">PRINDERE &amp; ACCES</t>
  </si>
  <si>
    <t xml:space="preserve">Prindere</t>
  </si>
  <si>
    <t xml:space="preserve">Cleme / menghine (clamps) — 2 pana la 4 buc</t>
  </si>
  <si>
    <t xml:space="preserve">Tin piesele fixe cat insurubezi (vital in doi)</t>
  </si>
  <si>
    <t xml:space="preserve">Acces</t>
  </si>
  <si>
    <t xml:space="preserve">Scara / schela mica</t>
  </si>
  <si>
    <t xml:space="preserve">Lucru la ~2 m</t>
  </si>
  <si>
    <t xml:space="preserve">Capre de taiat (banc improvizat)</t>
  </si>
  <si>
    <t xml:space="preserve">Taiat comod la inaltime de lucru</t>
  </si>
  <si>
    <t xml:space="preserve">PROTECTIE</t>
  </si>
  <si>
    <t xml:space="preserve">Protectie</t>
  </si>
  <si>
    <t xml:space="preserve">Ochelari de protectie</t>
  </si>
  <si>
    <t xml:space="preserve">Manusi de lucru</t>
  </si>
  <si>
    <t xml:space="preserve">Antifoane</t>
  </si>
  <si>
    <t xml:space="preserve">La circular/pendular</t>
  </si>
  <si>
    <t xml:space="preserve">Masca de praf</t>
  </si>
  <si>
    <t xml:space="preserve">La taiat / slefuit</t>
  </si>
  <si>
    <t xml:space="preserve">FINISAJ &amp; DIVERSE</t>
  </si>
  <si>
    <t xml:space="preserve">Pensula + trafalet</t>
  </si>
  <si>
    <t xml:space="preserve">la finisaj</t>
  </si>
  <si>
    <t xml:space="preserve">Ulei pe larice + protectie structura</t>
  </si>
  <si>
    <t xml:space="preserve">Diverse</t>
  </si>
  <si>
    <t xml:space="preserve">Distantier 5 mm (un cui)</t>
  </si>
  <si>
    <t xml:space="preserve">gratis</t>
  </si>
  <si>
    <t xml:space="preserve">Golul egal intre scandurile de dusumea</t>
  </si>
  <si>
    <t xml:space="preserve">Galeata, carpe, perie</t>
  </si>
  <si>
    <t xml:space="preserve">Esential = obligatoriu · Inchiriaza = doar pentru weekendul de constructie · Util/Optional = ajuta, nu obligatoriu.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</si>
</sst>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&quot; lei&quot;"/>
    <numFmt numFmtId="166" formatCode="#,##0.00&quot; lei&quot;"/>
    <numFmt numFmtId="167" formatCode="#,##0.0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C1C1E"/>
      <name val="Arial"/>
      <family val="0"/>
      <charset val="1"/>
    </font>
    <font>
      <i val="true"/>
      <sz val="9"/>
      <color rgb="FF8A857C"/>
      <name val="Arial"/>
      <family val="0"/>
      <charset val="1"/>
    </font>
    <font>
      <sz val="10"/>
      <color rgb="FF1C1C1E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1C1C1E"/>
      <name val="Arial"/>
      <family val="0"/>
      <charset val="1"/>
    </font>
    <font>
      <b val="true"/>
      <sz val="11"/>
      <color rgb="FF1C1C1E"/>
      <name val="Arial"/>
      <family val="0"/>
      <charset val="1"/>
    </font>
    <font>
      <b val="true"/>
      <sz val="11"/>
      <color rgb="FF3F6B4E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1C1C1E"/>
      <name val="Arial"/>
      <family val="0"/>
      <charset val="1"/>
    </font>
    <font>
      <b val="true"/>
      <sz val="9"/>
      <color rgb="FF1C1C1E"/>
      <name val="Arial"/>
      <family val="0"/>
      <charset val="1"/>
    </font>
    <font>
      <b val="true"/>
      <sz val="9"/>
      <color rgb="FF3F6B4E"/>
      <name val="Arial"/>
      <family val="0"/>
      <charset val="1"/>
    </font>
    <font>
      <sz val="9"/>
      <color rgb="FF0563C1"/>
      <name val="Arial"/>
      <family val="0"/>
      <charset val="1"/>
    </font>
    <font>
      <b val="true"/>
      <sz val="9"/>
      <color rgb="FF8A857C"/>
      <name val="Arial"/>
      <family val="0"/>
      <charset val="1"/>
    </font>
    <font>
      <b val="true"/>
      <sz val="9"/>
      <color rgb="FFB5852A"/>
      <name val="Arial"/>
      <family val="0"/>
      <charset val="1"/>
    </font>
    <font>
      <i val="true"/>
      <sz val="8"/>
      <color rgb="FF8A857C"/>
      <name val="Arial"/>
      <family val="0"/>
      <charset val="1"/>
    </font>
    <font>
      <b val="true"/>
      <sz val="15"/>
      <color rgb="FF1C1C1E"/>
      <name val="Arial"/>
      <family val="0"/>
      <charset val="1"/>
    </font>
    <font>
      <b val="true"/>
      <sz val="9"/>
      <color rgb="FFC2693A"/>
      <name val="Arial"/>
      <family val="0"/>
      <charset val="1"/>
    </font>
    <font>
      <b val="true"/>
      <sz val="11"/>
      <color rgb="FFC2693A"/>
      <name val="Arial"/>
      <family val="0"/>
      <charset val="1"/>
    </font>
    <font>
      <b val="true"/>
      <sz val="10"/>
      <color rgb="FFB5852A"/>
      <name val="Arial"/>
      <family val="0"/>
      <charset val="1"/>
    </font>
    <font>
      <b val="true"/>
      <sz val="10"/>
      <color rgb="FF3F6B4E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6D6"/>
        <bgColor rgb="FFF4F1EC"/>
      </patternFill>
    </fill>
    <fill>
      <patternFill patternType="solid">
        <fgColor rgb="FF2D2A26"/>
        <bgColor rgb="FF1C1C1E"/>
      </patternFill>
    </fill>
    <fill>
      <patternFill patternType="solid">
        <fgColor rgb="FFF4F1EC"/>
        <bgColor rgb="FFFFF6D6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6CF"/>
      </left>
      <right style="thin">
        <color rgb="FFD9D6CF"/>
      </right>
      <top style="thin">
        <color rgb="FFD9D6CF"/>
      </top>
      <bottom style="thin">
        <color rgb="FFD9D6CF"/>
      </bottom>
      <diagonal/>
    </border>
    <border diagonalUp="false" diagonalDown="false">
      <left/>
      <right/>
      <top style="thin">
        <color rgb="FFD9D6CF"/>
      </top>
      <bottom style="thin">
        <color rgb="FFD9D6CF"/>
      </bottom>
      <diagonal/>
    </border>
    <border diagonalUp="false" diagonalDown="false">
      <left/>
      <right style="thin">
        <color rgb="FFD9D6CF"/>
      </right>
      <top style="thin">
        <color rgb="FFD9D6CF"/>
      </top>
      <bottom style="thin">
        <color rgb="FFD9D6C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5852A"/>
      <rgbColor rgb="FF800080"/>
      <rgbColor rgb="FF008080"/>
      <rgbColor rgb="FFC0C0C0"/>
      <rgbColor rgb="FF8A857C"/>
      <rgbColor rgb="FF9999FF"/>
      <rgbColor rgb="FF993366"/>
      <rgbColor rgb="FFFFF6D6"/>
      <rgbColor rgb="FFF4F1EC"/>
      <rgbColor rgb="FF660066"/>
      <rgbColor rgb="FFFF8080"/>
      <rgbColor rgb="FF0563C1"/>
      <rgbColor rgb="FFD9D6C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2693A"/>
      <rgbColor rgb="FF3F6B4E"/>
      <rgbColor rgb="FF969696"/>
      <rgbColor rgb="FF003366"/>
      <rgbColor rgb="FF339966"/>
      <rgbColor rgb="FF003300"/>
      <rgbColor rgb="FF1C1C1E"/>
      <rgbColor rgb="FF993300"/>
      <rgbColor rgb="FF993366"/>
      <rgbColor rgb="FF333399"/>
      <rgbColor rgb="FF2D2A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hornbach.ro/p/lemn-constructii-kvh-4000x100x100-mm/7337253/" TargetMode="External"/><Relationship Id="rId2" Type="http://schemas.openxmlformats.org/officeDocument/2006/relationships/hyperlink" Target="https://www.leroymerlin.ro/produse/grinda-nerindeluita-lemn-rasinoase-100-x-100-x-4000-mm-11877411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34"/>
    <col collapsed="false" customWidth="true" hidden="false" outlineLevel="0" max="3" min="3" style="1" width="20"/>
    <col collapsed="false" customWidth="true" hidden="false" outlineLevel="0" max="4" min="4" style="1" width="13"/>
    <col collapsed="false" customWidth="true" hidden="false" outlineLevel="0" max="5" min="5" style="1" width="12"/>
    <col collapsed="false" customWidth="true" hidden="false" outlineLevel="0" max="6" min="6" style="1" width="7"/>
    <col collapsed="false" customWidth="true" hidden="false" outlineLevel="0" max="7" min="7" style="1" width="6"/>
    <col collapsed="false" customWidth="true" hidden="false" outlineLevel="0" max="9" min="8" style="1" width="12"/>
    <col collapsed="false" customWidth="true" hidden="false" outlineLevel="0" max="10" min="10" style="1" width="14"/>
    <col collapsed="false" customWidth="true" hidden="false" outlineLevel="0" max="12" min="11" style="1" width="30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15" hidden="false" customHeight="true" outlineLevel="0" collapsed="false">
      <c r="A3" s="4" t="s">
        <v>2</v>
      </c>
      <c r="C3" s="5" t="n">
        <v>4000</v>
      </c>
    </row>
    <row r="4" customFormat="false" ht="15" hidden="false" customHeight="true" outlineLevel="0" collapsed="false">
      <c r="A4" s="4" t="s">
        <v>3</v>
      </c>
      <c r="C4" s="6" t="n">
        <f aca="false">SUMIF($J$11:$J$60,"Cumparat",$I$11:$I$60)</f>
        <v>943.96</v>
      </c>
    </row>
    <row r="5" customFormat="false" ht="15" hidden="false" customHeight="true" outlineLevel="0" collapsed="false">
      <c r="A5" s="4" t="s">
        <v>4</v>
      </c>
      <c r="C5" s="6" t="n">
        <f aca="false">SUMIF($J$11:$J$60,"De cumparat",$I$11:$I$60)</f>
        <v>4506.42</v>
      </c>
    </row>
    <row r="6" customFormat="false" ht="15" hidden="false" customHeight="true" outlineLevel="0" collapsed="false">
      <c r="A6" s="4" t="s">
        <v>5</v>
      </c>
      <c r="C6" s="6" t="n">
        <f aca="false">SUMIF($J$11:$J$60,"De decis",$I$11:$I$60)</f>
        <v>312.76</v>
      </c>
    </row>
    <row r="7" customFormat="false" ht="15" hidden="false" customHeight="true" outlineLevel="0" collapsed="false">
      <c r="A7" s="7" t="s">
        <v>6</v>
      </c>
      <c r="C7" s="8" t="n">
        <f aca="false">SUM($I$11:$I$60)</f>
        <v>5763.14</v>
      </c>
    </row>
    <row r="8" customFormat="false" ht="15" hidden="false" customHeight="true" outlineLevel="0" collapsed="false">
      <c r="A8" s="7" t="s">
        <v>7</v>
      </c>
      <c r="C8" s="9" t="n">
        <f aca="false">C3-C7</f>
        <v>-1763.14</v>
      </c>
    </row>
    <row r="10" customFormat="false" ht="25.5" hidden="false" customHeight="true" outlineLevel="0" collapsed="false">
      <c r="A10" s="10" t="s">
        <v>8</v>
      </c>
      <c r="B10" s="10" t="s">
        <v>9</v>
      </c>
      <c r="C10" s="10" t="s">
        <v>10</v>
      </c>
      <c r="D10" s="10" t="s">
        <v>11</v>
      </c>
      <c r="E10" s="10" t="s">
        <v>12</v>
      </c>
      <c r="F10" s="10" t="s">
        <v>13</v>
      </c>
      <c r="G10" s="10" t="s">
        <v>14</v>
      </c>
      <c r="H10" s="10" t="s">
        <v>15</v>
      </c>
      <c r="I10" s="10" t="s">
        <v>16</v>
      </c>
      <c r="J10" s="10" t="s">
        <v>17</v>
      </c>
      <c r="K10" s="10" t="s">
        <v>18</v>
      </c>
      <c r="L10" s="10" t="s">
        <v>19</v>
      </c>
    </row>
    <row r="11" customFormat="false" ht="15" hidden="false" customHeight="true" outlineLevel="0" collapsed="false">
      <c r="A11" s="11" t="s">
        <v>20</v>
      </c>
      <c r="B11" s="12" t="s">
        <v>21</v>
      </c>
      <c r="C11" s="11" t="s">
        <v>22</v>
      </c>
      <c r="D11" s="11" t="s">
        <v>23</v>
      </c>
      <c r="E11" s="11" t="s">
        <v>24</v>
      </c>
      <c r="F11" s="13" t="n">
        <v>4</v>
      </c>
      <c r="G11" s="11" t="s">
        <v>25</v>
      </c>
      <c r="H11" s="14" t="n">
        <v>149</v>
      </c>
      <c r="I11" s="15" t="n">
        <f aca="false">IF(AND(F11&lt;&gt;"",H11&lt;&gt;""),F11*H11,"")</f>
        <v>596</v>
      </c>
      <c r="J11" s="16" t="s">
        <v>26</v>
      </c>
      <c r="K11" s="17" t="s">
        <v>23</v>
      </c>
      <c r="L11" s="12" t="s">
        <v>27</v>
      </c>
    </row>
    <row r="12" customFormat="false" ht="32.25" hidden="false" customHeight="true" outlineLevel="0" collapsed="false">
      <c r="A12" s="18" t="s">
        <v>28</v>
      </c>
      <c r="B12" s="19" t="s">
        <v>29</v>
      </c>
      <c r="C12" s="18" t="s">
        <v>30</v>
      </c>
      <c r="D12" s="18" t="s">
        <v>31</v>
      </c>
      <c r="E12" s="18" t="s">
        <v>32</v>
      </c>
      <c r="F12" s="20" t="n">
        <v>4</v>
      </c>
      <c r="G12" s="18" t="s">
        <v>25</v>
      </c>
      <c r="H12" s="21" t="n">
        <v>86.99</v>
      </c>
      <c r="I12" s="22" t="n">
        <f aca="false">IF(AND(F12&lt;&gt;"",H12&lt;&gt;""),F12*H12,"")</f>
        <v>347.96</v>
      </c>
      <c r="J12" s="23" t="s">
        <v>26</v>
      </c>
      <c r="K12" s="24" t="s">
        <v>31</v>
      </c>
      <c r="L12" s="19" t="s">
        <v>33</v>
      </c>
    </row>
    <row r="13" customFormat="false" ht="21.75" hidden="false" customHeight="true" outlineLevel="0" collapsed="false">
      <c r="A13" s="11" t="s">
        <v>20</v>
      </c>
      <c r="B13" s="12" t="s">
        <v>34</v>
      </c>
      <c r="C13" s="11" t="s">
        <v>35</v>
      </c>
      <c r="D13" s="11" t="s">
        <v>23</v>
      </c>
      <c r="E13" s="11"/>
      <c r="F13" s="13" t="n">
        <v>4</v>
      </c>
      <c r="G13" s="11" t="s">
        <v>25</v>
      </c>
      <c r="H13" s="14" t="n">
        <v>78.19</v>
      </c>
      <c r="I13" s="15" t="n">
        <f aca="false">IF(AND(F13&lt;&gt;"",H13&lt;&gt;""),F13*H13,"")</f>
        <v>312.76</v>
      </c>
      <c r="J13" s="25" t="s">
        <v>36</v>
      </c>
      <c r="K13" s="12"/>
      <c r="L13" s="12" t="s">
        <v>37</v>
      </c>
    </row>
    <row r="14" customFormat="false" ht="21.75" hidden="false" customHeight="true" outlineLevel="0" collapsed="false">
      <c r="A14" s="18" t="s">
        <v>38</v>
      </c>
      <c r="B14" s="19" t="s">
        <v>39</v>
      </c>
      <c r="C14" s="18" t="s">
        <v>40</v>
      </c>
      <c r="D14" s="18" t="s">
        <v>23</v>
      </c>
      <c r="E14" s="18"/>
      <c r="F14" s="20" t="n">
        <v>4</v>
      </c>
      <c r="G14" s="18" t="s">
        <v>25</v>
      </c>
      <c r="H14" s="21" t="n">
        <v>175</v>
      </c>
      <c r="I14" s="22" t="n">
        <f aca="false">IF(AND(F14&lt;&gt;"",H14&lt;&gt;""),F14*H14,"")</f>
        <v>700</v>
      </c>
      <c r="J14" s="26" t="s">
        <v>41</v>
      </c>
      <c r="K14" s="19"/>
      <c r="L14" s="19" t="s">
        <v>42</v>
      </c>
    </row>
    <row r="15" customFormat="false" ht="15" hidden="false" customHeight="true" outlineLevel="0" collapsed="false">
      <c r="A15" s="11" t="s">
        <v>38</v>
      </c>
      <c r="B15" s="12" t="s">
        <v>43</v>
      </c>
      <c r="C15" s="11" t="s">
        <v>44</v>
      </c>
      <c r="D15" s="11" t="s">
        <v>23</v>
      </c>
      <c r="E15" s="11"/>
      <c r="F15" s="13" t="n">
        <v>6</v>
      </c>
      <c r="G15" s="11" t="s">
        <v>25</v>
      </c>
      <c r="H15" s="14" t="n">
        <v>94</v>
      </c>
      <c r="I15" s="15" t="n">
        <f aca="false">IF(AND(F15&lt;&gt;"",H15&lt;&gt;""),F15*H15,"")</f>
        <v>564</v>
      </c>
      <c r="J15" s="27" t="s">
        <v>41</v>
      </c>
      <c r="K15" s="12"/>
      <c r="L15" s="12" t="s">
        <v>45</v>
      </c>
    </row>
    <row r="16" customFormat="false" ht="15" hidden="false" customHeight="true" outlineLevel="0" collapsed="false">
      <c r="A16" s="18" t="s">
        <v>46</v>
      </c>
      <c r="B16" s="19" t="s">
        <v>47</v>
      </c>
      <c r="C16" s="18" t="s">
        <v>48</v>
      </c>
      <c r="D16" s="18"/>
      <c r="E16" s="18"/>
      <c r="F16" s="20" t="n">
        <v>22</v>
      </c>
      <c r="G16" s="18" t="s">
        <v>25</v>
      </c>
      <c r="H16" s="21" t="n">
        <v>38</v>
      </c>
      <c r="I16" s="22" t="n">
        <f aca="false">IF(AND(F16&lt;&gt;"",H16&lt;&gt;""),F16*H16,"")</f>
        <v>836</v>
      </c>
      <c r="J16" s="26" t="s">
        <v>41</v>
      </c>
      <c r="K16" s="19"/>
      <c r="L16" s="19" t="s">
        <v>49</v>
      </c>
    </row>
    <row r="17" customFormat="false" ht="21.75" hidden="false" customHeight="true" outlineLevel="0" collapsed="false">
      <c r="A17" s="11" t="s">
        <v>50</v>
      </c>
      <c r="B17" s="12" t="s">
        <v>51</v>
      </c>
      <c r="C17" s="11" t="s">
        <v>52</v>
      </c>
      <c r="D17" s="11"/>
      <c r="E17" s="11"/>
      <c r="F17" s="13" t="n">
        <v>3</v>
      </c>
      <c r="G17" s="11" t="s">
        <v>25</v>
      </c>
      <c r="H17" s="14"/>
      <c r="I17" s="15" t="str">
        <f aca="false">IF(AND(F17&lt;&gt;"",H17&lt;&gt;""),F17*H17,"")</f>
        <v/>
      </c>
      <c r="J17" s="27" t="s">
        <v>41</v>
      </c>
      <c r="K17" s="12"/>
      <c r="L17" s="12" t="s">
        <v>53</v>
      </c>
    </row>
    <row r="18" customFormat="false" ht="15" hidden="false" customHeight="true" outlineLevel="0" collapsed="false">
      <c r="A18" s="18" t="s">
        <v>54</v>
      </c>
      <c r="B18" s="19" t="s">
        <v>55</v>
      </c>
      <c r="C18" s="18" t="s">
        <v>56</v>
      </c>
      <c r="D18" s="18" t="s">
        <v>23</v>
      </c>
      <c r="E18" s="18"/>
      <c r="F18" s="20" t="n">
        <v>8</v>
      </c>
      <c r="G18" s="18" t="s">
        <v>25</v>
      </c>
      <c r="H18" s="21" t="n">
        <v>60.91</v>
      </c>
      <c r="I18" s="22" t="n">
        <f aca="false">IF(AND(F18&lt;&gt;"",H18&lt;&gt;""),F18*H18,"")</f>
        <v>487.28</v>
      </c>
      <c r="J18" s="26" t="s">
        <v>41</v>
      </c>
      <c r="K18" s="19"/>
      <c r="L18" s="19" t="s">
        <v>57</v>
      </c>
    </row>
    <row r="19" customFormat="false" ht="15" hidden="false" customHeight="true" outlineLevel="0" collapsed="false">
      <c r="A19" s="11" t="s">
        <v>54</v>
      </c>
      <c r="B19" s="12" t="s">
        <v>58</v>
      </c>
      <c r="C19" s="11" t="s">
        <v>59</v>
      </c>
      <c r="D19" s="11" t="s">
        <v>23</v>
      </c>
      <c r="E19" s="11"/>
      <c r="F19" s="13" t="n">
        <v>24</v>
      </c>
      <c r="G19" s="11" t="s">
        <v>25</v>
      </c>
      <c r="H19" s="14" t="n">
        <v>3.3</v>
      </c>
      <c r="I19" s="15" t="n">
        <f aca="false">IF(AND(F19&lt;&gt;"",H19&lt;&gt;""),F19*H19,"")</f>
        <v>79.2</v>
      </c>
      <c r="J19" s="27" t="s">
        <v>41</v>
      </c>
      <c r="K19" s="12"/>
      <c r="L19" s="12" t="s">
        <v>60</v>
      </c>
    </row>
    <row r="20" customFormat="false" ht="15" hidden="false" customHeight="true" outlineLevel="0" collapsed="false">
      <c r="A20" s="18" t="s">
        <v>61</v>
      </c>
      <c r="B20" s="19" t="s">
        <v>62</v>
      </c>
      <c r="C20" s="18" t="s">
        <v>63</v>
      </c>
      <c r="D20" s="18"/>
      <c r="E20" s="18"/>
      <c r="F20" s="20" t="n">
        <v>16</v>
      </c>
      <c r="G20" s="18" t="s">
        <v>25</v>
      </c>
      <c r="H20" s="21" t="n">
        <v>38</v>
      </c>
      <c r="I20" s="22" t="n">
        <f aca="false">IF(AND(F20&lt;&gt;"",H20&lt;&gt;""),F20*H20,"")</f>
        <v>608</v>
      </c>
      <c r="J20" s="26" t="s">
        <v>41</v>
      </c>
      <c r="K20" s="19"/>
      <c r="L20" s="19" t="s">
        <v>64</v>
      </c>
    </row>
    <row r="21" customFormat="false" ht="15" hidden="false" customHeight="true" outlineLevel="0" collapsed="false">
      <c r="A21" s="11" t="s">
        <v>65</v>
      </c>
      <c r="B21" s="12" t="s">
        <v>66</v>
      </c>
      <c r="C21" s="11" t="s">
        <v>67</v>
      </c>
      <c r="D21" s="11"/>
      <c r="E21" s="11"/>
      <c r="F21" s="13" t="n">
        <v>4</v>
      </c>
      <c r="G21" s="11" t="s">
        <v>25</v>
      </c>
      <c r="H21" s="14" t="n">
        <v>39</v>
      </c>
      <c r="I21" s="15" t="n">
        <f aca="false">IF(AND(F21&lt;&gt;"",H21&lt;&gt;""),F21*H21,"")</f>
        <v>156</v>
      </c>
      <c r="J21" s="27" t="s">
        <v>41</v>
      </c>
      <c r="K21" s="12"/>
      <c r="L21" s="12" t="s">
        <v>68</v>
      </c>
    </row>
    <row r="22" customFormat="false" ht="21.75" hidden="false" customHeight="true" outlineLevel="0" collapsed="false">
      <c r="A22" s="18" t="s">
        <v>65</v>
      </c>
      <c r="B22" s="19" t="s">
        <v>69</v>
      </c>
      <c r="C22" s="18" t="s">
        <v>70</v>
      </c>
      <c r="D22" s="18"/>
      <c r="E22" s="18"/>
      <c r="F22" s="20" t="n">
        <v>1</v>
      </c>
      <c r="G22" s="18" t="s">
        <v>71</v>
      </c>
      <c r="H22" s="21"/>
      <c r="I22" s="22" t="str">
        <f aca="false">IF(AND(F22&lt;&gt;"",H22&lt;&gt;""),F22*H22,"")</f>
        <v/>
      </c>
      <c r="J22" s="28" t="s">
        <v>36</v>
      </c>
      <c r="K22" s="19"/>
      <c r="L22" s="19" t="s">
        <v>72</v>
      </c>
    </row>
    <row r="23" customFormat="false" ht="15" hidden="false" customHeight="true" outlineLevel="0" collapsed="false">
      <c r="A23" s="11" t="s">
        <v>73</v>
      </c>
      <c r="B23" s="12" t="s">
        <v>74</v>
      </c>
      <c r="C23" s="11" t="s">
        <v>70</v>
      </c>
      <c r="D23" s="11"/>
      <c r="E23" s="11"/>
      <c r="F23" s="13" t="n">
        <v>1</v>
      </c>
      <c r="G23" s="11" t="s">
        <v>71</v>
      </c>
      <c r="H23" s="14"/>
      <c r="I23" s="15" t="str">
        <f aca="false">IF(AND(F23&lt;&gt;"",H23&lt;&gt;""),F23*H23,"")</f>
        <v/>
      </c>
      <c r="J23" s="27" t="s">
        <v>41</v>
      </c>
      <c r="K23" s="12"/>
      <c r="L23" s="12" t="s">
        <v>75</v>
      </c>
    </row>
    <row r="24" customFormat="false" ht="15" hidden="false" customHeight="true" outlineLevel="0" collapsed="false">
      <c r="A24" s="18" t="s">
        <v>76</v>
      </c>
      <c r="B24" s="19" t="s">
        <v>77</v>
      </c>
      <c r="C24" s="18" t="s">
        <v>78</v>
      </c>
      <c r="D24" s="18" t="s">
        <v>23</v>
      </c>
      <c r="E24" s="18"/>
      <c r="F24" s="20" t="n">
        <v>1</v>
      </c>
      <c r="G24" s="18" t="s">
        <v>79</v>
      </c>
      <c r="H24" s="21" t="n">
        <v>274</v>
      </c>
      <c r="I24" s="22" t="n">
        <f aca="false">IF(AND(F24&lt;&gt;"",H24&lt;&gt;""),F24*H24,"")</f>
        <v>274</v>
      </c>
      <c r="J24" s="26" t="s">
        <v>41</v>
      </c>
      <c r="K24" s="19"/>
      <c r="L24" s="19" t="s">
        <v>80</v>
      </c>
    </row>
    <row r="25" customFormat="false" ht="15" hidden="false" customHeight="true" outlineLevel="0" collapsed="false">
      <c r="A25" s="11" t="s">
        <v>76</v>
      </c>
      <c r="B25" s="12" t="s">
        <v>81</v>
      </c>
      <c r="C25" s="11" t="s">
        <v>82</v>
      </c>
      <c r="D25" s="11"/>
      <c r="E25" s="11"/>
      <c r="F25" s="13" t="n">
        <v>2</v>
      </c>
      <c r="G25" s="11" t="s">
        <v>79</v>
      </c>
      <c r="H25" s="14"/>
      <c r="I25" s="15" t="str">
        <f aca="false">IF(AND(F25&lt;&gt;"",H25&lt;&gt;""),F25*H25,"")</f>
        <v/>
      </c>
      <c r="J25" s="27" t="s">
        <v>41</v>
      </c>
      <c r="K25" s="12"/>
      <c r="L25" s="12" t="s">
        <v>83</v>
      </c>
    </row>
    <row r="26" customFormat="false" ht="15" hidden="false" customHeight="true" outlineLevel="0" collapsed="false">
      <c r="A26" s="18" t="s">
        <v>76</v>
      </c>
      <c r="B26" s="19" t="s">
        <v>84</v>
      </c>
      <c r="C26" s="18" t="s">
        <v>85</v>
      </c>
      <c r="D26" s="18" t="s">
        <v>23</v>
      </c>
      <c r="E26" s="18"/>
      <c r="F26" s="20" t="n">
        <v>12</v>
      </c>
      <c r="G26" s="18" t="s">
        <v>25</v>
      </c>
      <c r="H26" s="21" t="n">
        <v>28.37</v>
      </c>
      <c r="I26" s="22" t="n">
        <f aca="false">IF(AND(F26&lt;&gt;"",H26&lt;&gt;""),F26*H26,"")</f>
        <v>340.44</v>
      </c>
      <c r="J26" s="26" t="s">
        <v>41</v>
      </c>
      <c r="K26" s="19"/>
      <c r="L26" s="19" t="s">
        <v>86</v>
      </c>
    </row>
    <row r="27" customFormat="false" ht="15" hidden="false" customHeight="true" outlineLevel="0" collapsed="false">
      <c r="A27" s="11" t="s">
        <v>76</v>
      </c>
      <c r="B27" s="12" t="s">
        <v>87</v>
      </c>
      <c r="C27" s="11" t="s">
        <v>70</v>
      </c>
      <c r="D27" s="11"/>
      <c r="E27" s="11"/>
      <c r="F27" s="13" t="n">
        <v>8</v>
      </c>
      <c r="G27" s="11" t="s">
        <v>71</v>
      </c>
      <c r="H27" s="14"/>
      <c r="I27" s="15" t="str">
        <f aca="false">IF(AND(F27&lt;&gt;"",H27&lt;&gt;""),F27*H27,"")</f>
        <v/>
      </c>
      <c r="J27" s="27" t="s">
        <v>41</v>
      </c>
      <c r="K27" s="12"/>
      <c r="L27" s="12" t="s">
        <v>88</v>
      </c>
    </row>
    <row r="28" customFormat="false" ht="15" hidden="false" customHeight="true" outlineLevel="0" collapsed="false">
      <c r="A28" s="18" t="s">
        <v>89</v>
      </c>
      <c r="B28" s="19" t="s">
        <v>90</v>
      </c>
      <c r="C28" s="18" t="s">
        <v>91</v>
      </c>
      <c r="D28" s="18" t="s">
        <v>23</v>
      </c>
      <c r="E28" s="18"/>
      <c r="F28" s="20" t="n">
        <v>2</v>
      </c>
      <c r="G28" s="18" t="s">
        <v>25</v>
      </c>
      <c r="H28" s="21" t="n">
        <v>183</v>
      </c>
      <c r="I28" s="22" t="n">
        <f aca="false">IF(AND(F28&lt;&gt;"",H28&lt;&gt;""),F28*H28,"")</f>
        <v>366</v>
      </c>
      <c r="J28" s="26" t="s">
        <v>41</v>
      </c>
      <c r="K28" s="19"/>
      <c r="L28" s="19" t="s">
        <v>92</v>
      </c>
    </row>
    <row r="29" customFormat="false" ht="15" hidden="false" customHeight="true" outlineLevel="0" collapsed="false">
      <c r="A29" s="11" t="s">
        <v>89</v>
      </c>
      <c r="B29" s="12" t="s">
        <v>93</v>
      </c>
      <c r="C29" s="11" t="s">
        <v>94</v>
      </c>
      <c r="D29" s="11" t="s">
        <v>23</v>
      </c>
      <c r="E29" s="11"/>
      <c r="F29" s="13" t="n">
        <v>1</v>
      </c>
      <c r="G29" s="11" t="s">
        <v>25</v>
      </c>
      <c r="H29" s="14" t="n">
        <v>95.5</v>
      </c>
      <c r="I29" s="15" t="n">
        <f aca="false">IF(AND(F29&lt;&gt;"",H29&lt;&gt;""),F29*H29,"")</f>
        <v>95.5</v>
      </c>
      <c r="J29" s="27" t="s">
        <v>41</v>
      </c>
      <c r="K29" s="12"/>
      <c r="L29" s="12" t="s">
        <v>95</v>
      </c>
    </row>
    <row r="30" customFormat="false" ht="15" hidden="false" customHeight="true" outlineLevel="0" collapsed="false">
      <c r="A30" s="18" t="s">
        <v>96</v>
      </c>
      <c r="B30" s="19" t="s">
        <v>97</v>
      </c>
      <c r="C30" s="18" t="s">
        <v>98</v>
      </c>
      <c r="D30" s="18"/>
      <c r="E30" s="18"/>
      <c r="F30" s="20" t="n">
        <v>1</v>
      </c>
      <c r="G30" s="18" t="s">
        <v>99</v>
      </c>
      <c r="H30" s="21"/>
      <c r="I30" s="22" t="str">
        <f aca="false">IF(AND(F30&lt;&gt;"",H30&lt;&gt;""),F30*H30,"")</f>
        <v/>
      </c>
      <c r="J30" s="26" t="s">
        <v>41</v>
      </c>
      <c r="K30" s="19"/>
      <c r="L30" s="19" t="s">
        <v>100</v>
      </c>
    </row>
    <row r="31" customFormat="false" ht="15" hidden="false" customHeight="true" outlineLevel="0" collapsed="false">
      <c r="A31" s="11" t="s">
        <v>101</v>
      </c>
      <c r="B31" s="12" t="s">
        <v>102</v>
      </c>
      <c r="C31" s="11" t="s">
        <v>70</v>
      </c>
      <c r="D31" s="11"/>
      <c r="E31" s="11"/>
      <c r="F31" s="13" t="n">
        <v>1</v>
      </c>
      <c r="G31" s="11" t="s">
        <v>25</v>
      </c>
      <c r="H31" s="14"/>
      <c r="I31" s="15" t="str">
        <f aca="false">IF(AND(F31&lt;&gt;"",H31&lt;&gt;""),F31*H31,"")</f>
        <v/>
      </c>
      <c r="J31" s="25" t="s">
        <v>36</v>
      </c>
      <c r="K31" s="12"/>
      <c r="L31" s="12" t="s">
        <v>103</v>
      </c>
    </row>
    <row r="32" customFormat="false" ht="15" hidden="false" customHeight="true" outlineLevel="0" collapsed="false">
      <c r="A32" s="18" t="s">
        <v>101</v>
      </c>
      <c r="B32" s="19" t="s">
        <v>104</v>
      </c>
      <c r="C32" s="18" t="s">
        <v>70</v>
      </c>
      <c r="D32" s="18"/>
      <c r="E32" s="18"/>
      <c r="F32" s="20" t="n">
        <v>1</v>
      </c>
      <c r="G32" s="18" t="s">
        <v>71</v>
      </c>
      <c r="H32" s="21"/>
      <c r="I32" s="22" t="str">
        <f aca="false">IF(AND(F32&lt;&gt;"",H32&lt;&gt;""),F32*H32,"")</f>
        <v/>
      </c>
      <c r="J32" s="28" t="s">
        <v>36</v>
      </c>
      <c r="K32" s="19"/>
      <c r="L32" s="19" t="s">
        <v>103</v>
      </c>
    </row>
    <row r="34" customFormat="false" ht="15" hidden="false" customHeight="true" outlineLevel="0" collapsed="false">
      <c r="A34" s="29" t="s">
        <v>105</v>
      </c>
      <c r="B34" s="30" t="s">
        <v>26</v>
      </c>
      <c r="C34" s="31" t="s">
        <v>41</v>
      </c>
      <c r="D34" s="32" t="s">
        <v>36</v>
      </c>
    </row>
    <row r="35" customFormat="false" ht="15" hidden="false" customHeight="true" outlineLevel="0" collapsed="false">
      <c r="A35" s="33" t="s">
        <v>106</v>
      </c>
    </row>
  </sheetData>
  <mergeCells count="2">
    <mergeCell ref="A1:L1"/>
    <mergeCell ref="A2:L2"/>
  </mergeCells>
  <hyperlinks>
    <hyperlink ref="K11" r:id="rId1" display="Hornbach"/>
    <hyperlink ref="K12" r:id="rId2" display="Leroy Merli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6"/>
    <col collapsed="false" customWidth="true" hidden="false" outlineLevel="0" max="6" min="6" style="1" width="16"/>
    <col collapsed="false" customWidth="true" hidden="false" outlineLevel="0" max="7" min="7" style="1" width="13"/>
    <col collapsed="false" customWidth="true" hidden="false" outlineLevel="0" max="8" min="8" style="1" width="42"/>
  </cols>
  <sheetData>
    <row r="1" customFormat="false" ht="27.75" hidden="false" customHeight="true" outlineLevel="0" collapsed="false">
      <c r="A1" s="34" t="s">
        <v>107</v>
      </c>
      <c r="B1" s="34"/>
      <c r="C1" s="34"/>
      <c r="D1" s="34"/>
      <c r="E1" s="34"/>
      <c r="F1" s="34"/>
      <c r="G1" s="34"/>
      <c r="H1" s="34"/>
    </row>
    <row r="2" customFormat="false" ht="15" hidden="false" customHeight="true" outlineLevel="0" collapsed="false">
      <c r="A2" s="3" t="s">
        <v>108</v>
      </c>
      <c r="B2" s="3"/>
      <c r="C2" s="3"/>
      <c r="D2" s="3"/>
      <c r="E2" s="3"/>
      <c r="F2" s="3"/>
      <c r="G2" s="3"/>
      <c r="H2" s="3"/>
    </row>
    <row r="4" customFormat="false" ht="24" hidden="false" customHeight="true" outlineLevel="0" collapsed="false">
      <c r="A4" s="10" t="s">
        <v>109</v>
      </c>
      <c r="B4" s="10" t="s">
        <v>110</v>
      </c>
      <c r="C4" s="10" t="s">
        <v>111</v>
      </c>
      <c r="D4" s="10" t="s">
        <v>112</v>
      </c>
      <c r="E4" s="10" t="s">
        <v>113</v>
      </c>
      <c r="F4" s="10" t="s">
        <v>114</v>
      </c>
      <c r="G4" s="10" t="s">
        <v>11</v>
      </c>
      <c r="H4" s="10" t="s">
        <v>19</v>
      </c>
    </row>
    <row r="5" customFormat="false" ht="18" hidden="false" customHeight="true" outlineLevel="0" collapsed="false">
      <c r="A5" s="35" t="s">
        <v>115</v>
      </c>
      <c r="B5" s="35"/>
      <c r="C5" s="35"/>
      <c r="D5" s="35"/>
      <c r="E5" s="35"/>
      <c r="F5" s="35"/>
      <c r="G5" s="35"/>
      <c r="H5" s="35"/>
    </row>
    <row r="6" customFormat="false" ht="21.75" hidden="false" customHeight="true" outlineLevel="0" collapsed="false">
      <c r="A6" s="25" t="s">
        <v>116</v>
      </c>
      <c r="B6" s="12" t="s">
        <v>117</v>
      </c>
      <c r="C6" s="12" t="s">
        <v>118</v>
      </c>
      <c r="D6" s="36" t="s">
        <v>119</v>
      </c>
      <c r="E6" s="36" t="s">
        <v>120</v>
      </c>
      <c r="F6" s="16" t="s">
        <v>121</v>
      </c>
      <c r="G6" s="11" t="s">
        <v>23</v>
      </c>
      <c r="H6" s="12" t="s">
        <v>122</v>
      </c>
    </row>
    <row r="7" customFormat="false" ht="21.75" hidden="false" customHeight="true" outlineLevel="0" collapsed="false">
      <c r="A7" s="25" t="s">
        <v>123</v>
      </c>
      <c r="B7" s="12" t="s">
        <v>124</v>
      </c>
      <c r="C7" s="12" t="s">
        <v>118</v>
      </c>
      <c r="D7" s="36" t="s">
        <v>125</v>
      </c>
      <c r="E7" s="36" t="s">
        <v>120</v>
      </c>
      <c r="F7" s="16" t="s">
        <v>121</v>
      </c>
      <c r="G7" s="11" t="s">
        <v>23</v>
      </c>
      <c r="H7" s="12" t="s">
        <v>126</v>
      </c>
    </row>
    <row r="8" customFormat="false" ht="21.75" hidden="false" customHeight="true" outlineLevel="0" collapsed="false">
      <c r="A8" s="25" t="s">
        <v>127</v>
      </c>
      <c r="B8" s="12" t="s">
        <v>128</v>
      </c>
      <c r="C8" s="12" t="s">
        <v>129</v>
      </c>
      <c r="D8" s="36" t="s">
        <v>130</v>
      </c>
      <c r="E8" s="36" t="s">
        <v>131</v>
      </c>
      <c r="F8" s="27" t="s">
        <v>132</v>
      </c>
      <c r="G8" s="11" t="s">
        <v>23</v>
      </c>
      <c r="H8" s="12" t="s">
        <v>133</v>
      </c>
    </row>
    <row r="9" customFormat="false" ht="15" hidden="false" customHeight="true" outlineLevel="0" collapsed="false">
      <c r="A9" s="25" t="s">
        <v>134</v>
      </c>
      <c r="B9" s="12" t="s">
        <v>135</v>
      </c>
      <c r="C9" s="12" t="s">
        <v>136</v>
      </c>
      <c r="D9" s="36" t="s">
        <v>137</v>
      </c>
      <c r="E9" s="36" t="s">
        <v>138</v>
      </c>
      <c r="F9" s="27" t="s">
        <v>139</v>
      </c>
      <c r="G9" s="11" t="s">
        <v>140</v>
      </c>
      <c r="H9" s="12" t="s">
        <v>141</v>
      </c>
    </row>
    <row r="10" customFormat="false" ht="21.75" hidden="false" customHeight="true" outlineLevel="0" collapsed="false">
      <c r="A10" s="25" t="s">
        <v>142</v>
      </c>
      <c r="B10" s="12" t="s">
        <v>143</v>
      </c>
      <c r="C10" s="12" t="s">
        <v>144</v>
      </c>
      <c r="D10" s="36" t="s">
        <v>145</v>
      </c>
      <c r="E10" s="36" t="s">
        <v>120</v>
      </c>
      <c r="F10" s="16" t="s">
        <v>146</v>
      </c>
      <c r="G10" s="11" t="s">
        <v>70</v>
      </c>
      <c r="H10" s="12" t="s">
        <v>147</v>
      </c>
    </row>
    <row r="11" customFormat="false" ht="18" hidden="false" customHeight="true" outlineLevel="0" collapsed="false">
      <c r="A11" s="25" t="s">
        <v>148</v>
      </c>
      <c r="B11" s="25"/>
      <c r="C11" s="25"/>
      <c r="D11" s="25"/>
      <c r="E11" s="25"/>
      <c r="F11" s="25"/>
      <c r="G11" s="25"/>
      <c r="H11" s="25"/>
    </row>
    <row r="12" customFormat="false" ht="21.75" hidden="false" customHeight="true" outlineLevel="0" collapsed="false">
      <c r="A12" s="35" t="s">
        <v>149</v>
      </c>
      <c r="B12" s="37"/>
      <c r="C12" s="37"/>
      <c r="D12" s="37"/>
      <c r="E12" s="37"/>
      <c r="F12" s="37"/>
      <c r="G12" s="37"/>
      <c r="H12" s="38"/>
    </row>
    <row r="13" customFormat="false" ht="18" hidden="false" customHeight="true" outlineLevel="0" collapsed="false">
      <c r="A13" s="25" t="s">
        <v>150</v>
      </c>
      <c r="B13" s="25"/>
      <c r="C13" s="25"/>
      <c r="D13" s="25"/>
      <c r="E13" s="25"/>
      <c r="F13" s="25"/>
      <c r="G13" s="25"/>
      <c r="H13" s="25"/>
    </row>
    <row r="14" customFormat="false" ht="15" hidden="false" customHeight="true" outlineLevel="0" collapsed="false">
      <c r="A14" s="35" t="s">
        <v>151</v>
      </c>
      <c r="B14" s="37"/>
      <c r="C14" s="37"/>
      <c r="D14" s="37"/>
      <c r="E14" s="37"/>
      <c r="F14" s="37"/>
      <c r="G14" s="37"/>
      <c r="H14" s="38"/>
    </row>
    <row r="15" customFormat="false" ht="15" hidden="false" customHeight="true" outlineLevel="0" collapsed="false">
      <c r="A15" s="25" t="s">
        <v>152</v>
      </c>
      <c r="B15" s="12" t="s">
        <v>153</v>
      </c>
      <c r="C15" s="12" t="s">
        <v>154</v>
      </c>
      <c r="D15" s="36" t="s">
        <v>155</v>
      </c>
      <c r="E15" s="36" t="s">
        <v>156</v>
      </c>
      <c r="F15" s="27" t="s">
        <v>132</v>
      </c>
      <c r="G15" s="11" t="s">
        <v>157</v>
      </c>
      <c r="H15" s="12" t="s">
        <v>158</v>
      </c>
    </row>
    <row r="16" customFormat="false" ht="21.75" hidden="false" customHeight="true" outlineLevel="0" collapsed="false">
      <c r="A16" s="25" t="s">
        <v>159</v>
      </c>
      <c r="B16" s="12" t="s">
        <v>160</v>
      </c>
      <c r="C16" s="12" t="s">
        <v>154</v>
      </c>
      <c r="D16" s="36" t="s">
        <v>161</v>
      </c>
      <c r="E16" s="36" t="s">
        <v>162</v>
      </c>
      <c r="F16" s="27" t="s">
        <v>132</v>
      </c>
      <c r="G16" s="11" t="s">
        <v>157</v>
      </c>
      <c r="H16" s="12" t="s">
        <v>163</v>
      </c>
    </row>
    <row r="17" customFormat="false" ht="18" hidden="false" customHeight="true" outlineLevel="0" collapsed="false">
      <c r="A17" s="25" t="s">
        <v>164</v>
      </c>
      <c r="B17" s="25"/>
      <c r="C17" s="25"/>
      <c r="D17" s="25"/>
      <c r="E17" s="25"/>
      <c r="F17" s="25"/>
      <c r="G17" s="25"/>
      <c r="H17" s="25"/>
    </row>
    <row r="18" customFormat="false" ht="15" hidden="false" customHeight="true" outlineLevel="0" collapsed="false">
      <c r="A18" s="35" t="s">
        <v>165</v>
      </c>
      <c r="B18" s="37"/>
      <c r="C18" s="37"/>
      <c r="D18" s="37"/>
      <c r="E18" s="37"/>
      <c r="F18" s="37"/>
      <c r="G18" s="37"/>
      <c r="H18" s="38"/>
    </row>
    <row r="19" customFormat="false" ht="15" hidden="false" customHeight="true" outlineLevel="0" collapsed="false">
      <c r="A19" s="25" t="s">
        <v>166</v>
      </c>
      <c r="B19" s="12" t="s">
        <v>167</v>
      </c>
      <c r="C19" s="12" t="s">
        <v>168</v>
      </c>
      <c r="D19" s="36" t="s">
        <v>161</v>
      </c>
      <c r="E19" s="36" t="s">
        <v>131</v>
      </c>
      <c r="F19" s="27" t="s">
        <v>132</v>
      </c>
      <c r="G19" s="11" t="s">
        <v>157</v>
      </c>
      <c r="H19" s="12" t="s">
        <v>169</v>
      </c>
    </row>
    <row r="20" customFormat="false" ht="21.75" hidden="false" customHeight="true" outlineLevel="0" collapsed="false">
      <c r="A20" s="25" t="s">
        <v>170</v>
      </c>
      <c r="B20" s="12" t="s">
        <v>171</v>
      </c>
      <c r="C20" s="12" t="s">
        <v>172</v>
      </c>
      <c r="D20" s="36" t="s">
        <v>173</v>
      </c>
      <c r="E20" s="36" t="s">
        <v>174</v>
      </c>
      <c r="F20" s="27" t="s">
        <v>132</v>
      </c>
      <c r="G20" s="11" t="s">
        <v>157</v>
      </c>
      <c r="H20" s="12" t="s">
        <v>175</v>
      </c>
    </row>
    <row r="21" customFormat="false" ht="18" hidden="false" customHeight="true" outlineLevel="0" collapsed="false">
      <c r="A21" s="25" t="s">
        <v>176</v>
      </c>
      <c r="B21" s="25"/>
      <c r="C21" s="25"/>
      <c r="D21" s="25"/>
      <c r="E21" s="25"/>
      <c r="F21" s="25"/>
      <c r="G21" s="25"/>
      <c r="H21" s="25"/>
    </row>
    <row r="22" customFormat="false" ht="15" hidden="false" customHeight="true" outlineLevel="0" collapsed="false">
      <c r="A22" s="35" t="s">
        <v>177</v>
      </c>
      <c r="B22" s="37"/>
      <c r="C22" s="37"/>
      <c r="D22" s="37"/>
      <c r="E22" s="37"/>
      <c r="F22" s="37"/>
      <c r="G22" s="37"/>
      <c r="H22" s="38"/>
    </row>
    <row r="23" customFormat="false" ht="15" hidden="false" customHeight="true" outlineLevel="0" collapsed="false">
      <c r="A23" s="25" t="s">
        <v>178</v>
      </c>
      <c r="B23" s="12" t="s">
        <v>55</v>
      </c>
      <c r="C23" s="12" t="s">
        <v>179</v>
      </c>
      <c r="D23" s="36" t="s">
        <v>180</v>
      </c>
      <c r="E23" s="36" t="s">
        <v>181</v>
      </c>
      <c r="F23" s="27" t="s">
        <v>132</v>
      </c>
      <c r="G23" s="11" t="s">
        <v>23</v>
      </c>
      <c r="H23" s="12" t="s">
        <v>182</v>
      </c>
    </row>
    <row r="24" customFormat="false" ht="15" hidden="false" customHeight="true" outlineLevel="0" collapsed="false">
      <c r="A24" s="25" t="s">
        <v>183</v>
      </c>
      <c r="B24" s="12" t="s">
        <v>184</v>
      </c>
      <c r="C24" s="12" t="s">
        <v>185</v>
      </c>
      <c r="D24" s="36" t="s">
        <v>186</v>
      </c>
      <c r="E24" s="36" t="s">
        <v>120</v>
      </c>
      <c r="F24" s="27" t="s">
        <v>132</v>
      </c>
      <c r="G24" s="11" t="s">
        <v>157</v>
      </c>
      <c r="H24" s="12" t="s">
        <v>187</v>
      </c>
    </row>
    <row r="25" customFormat="false" ht="18" hidden="false" customHeight="true" outlineLevel="0" collapsed="false">
      <c r="A25" s="25" t="s">
        <v>188</v>
      </c>
      <c r="B25" s="25"/>
      <c r="C25" s="25"/>
      <c r="D25" s="25"/>
      <c r="E25" s="25"/>
      <c r="F25" s="25"/>
      <c r="G25" s="25"/>
      <c r="H25" s="25"/>
    </row>
    <row r="26" customFormat="false" ht="15" hidden="false" customHeight="true" outlineLevel="0" collapsed="false">
      <c r="A26" s="35" t="s">
        <v>189</v>
      </c>
      <c r="B26" s="37"/>
      <c r="C26" s="37"/>
      <c r="D26" s="37"/>
      <c r="E26" s="37"/>
      <c r="F26" s="37"/>
      <c r="G26" s="37"/>
      <c r="H26" s="38"/>
    </row>
    <row r="27" customFormat="false" ht="15" hidden="false" customHeight="true" outlineLevel="0" collapsed="false">
      <c r="A27" s="25" t="s">
        <v>190</v>
      </c>
      <c r="B27" s="12" t="s">
        <v>191</v>
      </c>
      <c r="C27" s="12" t="s">
        <v>192</v>
      </c>
      <c r="D27" s="36" t="s">
        <v>193</v>
      </c>
      <c r="E27" s="36" t="s">
        <v>120</v>
      </c>
      <c r="F27" s="27" t="s">
        <v>132</v>
      </c>
      <c r="G27" s="11" t="s">
        <v>157</v>
      </c>
      <c r="H27" s="12" t="s">
        <v>194</v>
      </c>
    </row>
    <row r="28" customFormat="false" ht="15" hidden="false" customHeight="true" outlineLevel="0" collapsed="false">
      <c r="A28" s="25" t="s">
        <v>195</v>
      </c>
      <c r="B28" s="12" t="s">
        <v>196</v>
      </c>
      <c r="C28" s="12" t="s">
        <v>197</v>
      </c>
      <c r="D28" s="36" t="s">
        <v>198</v>
      </c>
      <c r="E28" s="36" t="s">
        <v>199</v>
      </c>
      <c r="F28" s="27" t="s">
        <v>132</v>
      </c>
      <c r="G28" s="11" t="s">
        <v>157</v>
      </c>
      <c r="H28" s="12" t="s">
        <v>200</v>
      </c>
    </row>
    <row r="29" customFormat="false" ht="18" hidden="false" customHeight="true" outlineLevel="0" collapsed="false">
      <c r="A29" s="25" t="s">
        <v>201</v>
      </c>
      <c r="B29" s="25"/>
      <c r="C29" s="25"/>
      <c r="D29" s="25"/>
      <c r="E29" s="25"/>
      <c r="F29" s="25"/>
      <c r="G29" s="25"/>
      <c r="H29" s="25"/>
    </row>
    <row r="30" customFormat="false" ht="21.75" hidden="false" customHeight="true" outlineLevel="0" collapsed="false">
      <c r="A30" s="35" t="s">
        <v>202</v>
      </c>
      <c r="B30" s="37"/>
      <c r="C30" s="37"/>
      <c r="D30" s="37"/>
      <c r="E30" s="37"/>
      <c r="F30" s="37"/>
      <c r="G30" s="37"/>
      <c r="H30" s="38"/>
    </row>
    <row r="31" customFormat="false" ht="15" hidden="false" customHeight="true" outlineLevel="0" collapsed="false">
      <c r="A31" s="25" t="s">
        <v>203</v>
      </c>
      <c r="B31" s="12" t="s">
        <v>204</v>
      </c>
      <c r="C31" s="12" t="s">
        <v>205</v>
      </c>
      <c r="D31" s="36" t="s">
        <v>70</v>
      </c>
      <c r="E31" s="36" t="s">
        <v>206</v>
      </c>
      <c r="F31" s="27" t="s">
        <v>207</v>
      </c>
      <c r="G31" s="11" t="s">
        <v>157</v>
      </c>
      <c r="H31" s="12" t="s">
        <v>208</v>
      </c>
    </row>
    <row r="32" customFormat="false" ht="18" hidden="false" customHeight="true" outlineLevel="0" collapsed="false">
      <c r="A32" s="25" t="s">
        <v>209</v>
      </c>
      <c r="B32" s="25"/>
      <c r="C32" s="25"/>
      <c r="D32" s="25"/>
      <c r="E32" s="25"/>
      <c r="F32" s="25"/>
      <c r="G32" s="25"/>
      <c r="H32" s="25"/>
    </row>
    <row r="33" customFormat="false" ht="15" hidden="false" customHeight="true" outlineLevel="0" collapsed="false">
      <c r="A33" s="35" t="s">
        <v>210</v>
      </c>
      <c r="B33" s="37"/>
      <c r="C33" s="37"/>
      <c r="D33" s="37"/>
      <c r="E33" s="37"/>
      <c r="F33" s="37"/>
      <c r="G33" s="37"/>
      <c r="H33" s="38"/>
    </row>
    <row r="34" customFormat="false" ht="15" hidden="false" customHeight="true" outlineLevel="0" collapsed="false">
      <c r="A34" s="25" t="s">
        <v>211</v>
      </c>
      <c r="B34" s="12" t="s">
        <v>212</v>
      </c>
      <c r="C34" s="12" t="s">
        <v>213</v>
      </c>
      <c r="D34" s="36" t="s">
        <v>70</v>
      </c>
      <c r="E34" s="36" t="s">
        <v>214</v>
      </c>
      <c r="F34" s="27" t="s">
        <v>132</v>
      </c>
      <c r="G34" s="11" t="s">
        <v>157</v>
      </c>
      <c r="H34" s="12" t="s">
        <v>215</v>
      </c>
    </row>
    <row r="35" customFormat="false" ht="15" hidden="false" customHeight="true" outlineLevel="0" collapsed="false">
      <c r="A35" s="25" t="s">
        <v>216</v>
      </c>
      <c r="B35" s="12" t="s">
        <v>217</v>
      </c>
      <c r="C35" s="12" t="s">
        <v>218</v>
      </c>
      <c r="D35" s="36" t="s">
        <v>70</v>
      </c>
      <c r="E35" s="36" t="s">
        <v>219</v>
      </c>
      <c r="F35" s="27" t="s">
        <v>132</v>
      </c>
      <c r="G35" s="11" t="s">
        <v>23</v>
      </c>
      <c r="H35" s="12" t="s">
        <v>220</v>
      </c>
    </row>
    <row r="36" customFormat="false" ht="15" hidden="false" customHeight="true" outlineLevel="0" collapsed="false">
      <c r="A36" s="25" t="s">
        <v>221</v>
      </c>
      <c r="B36" s="12" t="s">
        <v>77</v>
      </c>
      <c r="C36" s="12" t="s">
        <v>222</v>
      </c>
      <c r="D36" s="36" t="s">
        <v>70</v>
      </c>
      <c r="E36" s="36" t="s">
        <v>223</v>
      </c>
      <c r="F36" s="27" t="s">
        <v>132</v>
      </c>
      <c r="G36" s="11" t="s">
        <v>23</v>
      </c>
      <c r="H36" s="12" t="s">
        <v>224</v>
      </c>
    </row>
    <row r="37" customFormat="false" ht="18" hidden="false" customHeight="true" outlineLevel="0" collapsed="false">
      <c r="A37" s="25" t="s">
        <v>225</v>
      </c>
      <c r="B37" s="25"/>
      <c r="C37" s="25"/>
      <c r="D37" s="25"/>
      <c r="E37" s="25"/>
      <c r="F37" s="25"/>
      <c r="G37" s="25"/>
      <c r="H37" s="25"/>
    </row>
    <row r="38" customFormat="false" ht="15" hidden="false" customHeight="true" outlineLevel="0" collapsed="false">
      <c r="A38" s="35" t="s">
        <v>226</v>
      </c>
      <c r="B38" s="37"/>
      <c r="C38" s="37"/>
      <c r="D38" s="37"/>
      <c r="E38" s="37"/>
      <c r="F38" s="37"/>
      <c r="G38" s="37"/>
      <c r="H38" s="38"/>
    </row>
    <row r="39" customFormat="false" ht="15" hidden="false" customHeight="true" outlineLevel="0" collapsed="false">
      <c r="A39" s="25" t="s">
        <v>227</v>
      </c>
      <c r="B39" s="12" t="s">
        <v>93</v>
      </c>
      <c r="C39" s="12" t="s">
        <v>94</v>
      </c>
      <c r="D39" s="36" t="s">
        <v>70</v>
      </c>
      <c r="E39" s="36" t="s">
        <v>206</v>
      </c>
      <c r="F39" s="27" t="s">
        <v>132</v>
      </c>
      <c r="G39" s="11" t="s">
        <v>23</v>
      </c>
      <c r="H39" s="12" t="s">
        <v>228</v>
      </c>
    </row>
    <row r="40" customFormat="false" ht="15" hidden="false" customHeight="true" outlineLevel="0" collapsed="false">
      <c r="A40" s="25" t="s">
        <v>229</v>
      </c>
      <c r="B40" s="12" t="s">
        <v>230</v>
      </c>
      <c r="C40" s="12" t="s">
        <v>231</v>
      </c>
      <c r="D40" s="36" t="s">
        <v>70</v>
      </c>
      <c r="E40" s="36" t="s">
        <v>120</v>
      </c>
      <c r="F40" s="27" t="s">
        <v>132</v>
      </c>
      <c r="G40" s="11" t="s">
        <v>23</v>
      </c>
      <c r="H40" s="12" t="s">
        <v>232</v>
      </c>
    </row>
    <row r="41" customFormat="false" ht="15" hidden="false" customHeight="true" outlineLevel="0" collapsed="false">
      <c r="A41" s="25" t="s">
        <v>233</v>
      </c>
      <c r="B41" s="12" t="s">
        <v>234</v>
      </c>
      <c r="C41" s="12" t="s">
        <v>235</v>
      </c>
      <c r="D41" s="36" t="s">
        <v>236</v>
      </c>
      <c r="E41" s="36" t="s">
        <v>237</v>
      </c>
      <c r="F41" s="27" t="s">
        <v>132</v>
      </c>
      <c r="G41" s="11" t="s">
        <v>157</v>
      </c>
      <c r="H41" s="12" t="s">
        <v>238</v>
      </c>
    </row>
    <row r="42" customFormat="false" ht="15" hidden="false" customHeight="true" outlineLevel="0" collapsed="false"/>
    <row r="43" customFormat="false" ht="15" hidden="false" customHeight="true" outlineLevel="0" collapsed="false">
      <c r="A43" s="39" t="s">
        <v>239</v>
      </c>
      <c r="B43" s="39"/>
      <c r="C43" s="39"/>
      <c r="D43" s="39"/>
      <c r="E43" s="39"/>
      <c r="F43" s="39"/>
      <c r="G43" s="39"/>
      <c r="H43" s="39"/>
    </row>
    <row r="44" customFormat="false" ht="15" hidden="false" customHeight="true" outlineLevel="0" collapsed="false">
      <c r="A44" s="33" t="s">
        <v>240</v>
      </c>
    </row>
  </sheetData>
  <mergeCells count="12">
    <mergeCell ref="A1:H1"/>
    <mergeCell ref="A2:H2"/>
    <mergeCell ref="A5:H5"/>
    <mergeCell ref="A11:H11"/>
    <mergeCell ref="A13:H13"/>
    <mergeCell ref="A17:H17"/>
    <mergeCell ref="A21:H21"/>
    <mergeCell ref="A25:H25"/>
    <mergeCell ref="A29:H29"/>
    <mergeCell ref="A32:H32"/>
    <mergeCell ref="A37:H37"/>
    <mergeCell ref="A43:H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4" min="4" style="1" width="13"/>
    <col collapsed="false" customWidth="true" hidden="false" outlineLevel="0" max="5" min="5" style="1" width="6"/>
    <col collapsed="false" customWidth="true" hidden="false" outlineLevel="0" max="6" min="6" style="1" width="5"/>
    <col collapsed="false" customWidth="true" hidden="false" outlineLevel="0" max="7" min="7" style="1" width="11"/>
    <col collapsed="false" customWidth="true" hidden="false" outlineLevel="0" max="8" min="8" style="1" width="40"/>
    <col collapsed="false" customWidth="true" hidden="false" outlineLevel="0" max="9" min="9" style="1" width="14"/>
  </cols>
  <sheetData>
    <row r="1" customFormat="false" ht="27.75" hidden="false" customHeight="true" outlineLevel="0" collapsed="false">
      <c r="A1" s="34" t="s">
        <v>241</v>
      </c>
      <c r="B1" s="34"/>
      <c r="C1" s="34"/>
      <c r="D1" s="34"/>
      <c r="E1" s="34"/>
      <c r="F1" s="34"/>
      <c r="G1" s="34"/>
      <c r="H1" s="34"/>
      <c r="I1" s="34"/>
    </row>
    <row r="2" customFormat="false" ht="15" hidden="false" customHeight="true" outlineLevel="0" collapsed="false">
      <c r="A2" s="3" t="s">
        <v>242</v>
      </c>
      <c r="B2" s="3"/>
      <c r="C2" s="3"/>
      <c r="D2" s="3"/>
      <c r="E2" s="3"/>
      <c r="F2" s="3"/>
      <c r="G2" s="3"/>
      <c r="H2" s="3"/>
      <c r="I2" s="3"/>
    </row>
    <row r="4" customFormat="false" ht="25.5" hidden="false" customHeight="true" outlineLevel="0" collapsed="false">
      <c r="A4" s="10" t="s">
        <v>8</v>
      </c>
      <c r="B4" s="10" t="s">
        <v>243</v>
      </c>
      <c r="C4" s="10" t="s">
        <v>11</v>
      </c>
      <c r="D4" s="10" t="s">
        <v>244</v>
      </c>
      <c r="E4" s="10" t="s">
        <v>245</v>
      </c>
      <c r="F4" s="10" t="s">
        <v>14</v>
      </c>
      <c r="G4" s="10" t="s">
        <v>16</v>
      </c>
      <c r="H4" s="10" t="s">
        <v>246</v>
      </c>
      <c r="I4" s="10" t="s">
        <v>247</v>
      </c>
    </row>
    <row r="5" customFormat="false" ht="16.5" hidden="false" customHeight="true" outlineLevel="0" collapsed="false">
      <c r="A5" s="35" t="s">
        <v>248</v>
      </c>
      <c r="B5" s="35"/>
      <c r="C5" s="35"/>
      <c r="D5" s="35"/>
      <c r="E5" s="35"/>
      <c r="F5" s="35"/>
      <c r="G5" s="35"/>
      <c r="H5" s="35"/>
      <c r="I5" s="35"/>
    </row>
    <row r="6" customFormat="false" ht="15" hidden="false" customHeight="true" outlineLevel="0" collapsed="false">
      <c r="A6" s="11" t="s">
        <v>249</v>
      </c>
      <c r="B6" s="12" t="s">
        <v>250</v>
      </c>
      <c r="C6" s="11" t="s">
        <v>23</v>
      </c>
      <c r="D6" s="40" t="n">
        <v>149</v>
      </c>
      <c r="E6" s="13" t="n">
        <v>4</v>
      </c>
      <c r="F6" s="11" t="s">
        <v>25</v>
      </c>
      <c r="G6" s="15" t="n">
        <f aca="false">IF(AND(D6&lt;&gt;"",E6&lt;&gt;""),D6*E6,"")</f>
        <v>596</v>
      </c>
      <c r="H6" s="12" t="s">
        <v>251</v>
      </c>
      <c r="I6" s="16" t="s">
        <v>121</v>
      </c>
    </row>
    <row r="7" customFormat="false" ht="15" hidden="false" customHeight="true" outlineLevel="0" collapsed="false">
      <c r="A7" s="11" t="s">
        <v>252</v>
      </c>
      <c r="B7" s="12" t="s">
        <v>253</v>
      </c>
      <c r="C7" s="11" t="s">
        <v>140</v>
      </c>
      <c r="D7" s="40" t="n">
        <v>19.69</v>
      </c>
      <c r="E7" s="13" t="n">
        <v>4</v>
      </c>
      <c r="F7" s="11" t="s">
        <v>25</v>
      </c>
      <c r="G7" s="15" t="n">
        <f aca="false">IF(AND(D7&lt;&gt;"",E7&lt;&gt;""),D7*E7,"")</f>
        <v>78.76</v>
      </c>
      <c r="H7" s="12" t="s">
        <v>254</v>
      </c>
      <c r="I7" s="16" t="s">
        <v>121</v>
      </c>
    </row>
    <row r="8" customFormat="false" ht="15" hidden="false" customHeight="true" outlineLevel="0" collapsed="false">
      <c r="A8" s="11" t="s">
        <v>252</v>
      </c>
      <c r="B8" s="12" t="s">
        <v>255</v>
      </c>
      <c r="C8" s="11" t="s">
        <v>23</v>
      </c>
      <c r="D8" s="40" t="n">
        <v>7</v>
      </c>
      <c r="E8" s="13" t="n">
        <v>12</v>
      </c>
      <c r="F8" s="11" t="s">
        <v>25</v>
      </c>
      <c r="G8" s="15" t="n">
        <f aca="false">IF(AND(D8&lt;&gt;"",E8&lt;&gt;""),D8*E8,"")</f>
        <v>84</v>
      </c>
      <c r="H8" s="12" t="s">
        <v>256</v>
      </c>
      <c r="I8" s="27" t="s">
        <v>41</v>
      </c>
    </row>
    <row r="9" customFormat="false" ht="15" hidden="false" customHeight="true" outlineLevel="0" collapsed="false">
      <c r="A9" s="11" t="s">
        <v>257</v>
      </c>
      <c r="B9" s="12" t="s">
        <v>258</v>
      </c>
      <c r="C9" s="11" t="s">
        <v>140</v>
      </c>
      <c r="D9" s="40" t="n">
        <v>86.99</v>
      </c>
      <c r="E9" s="13" t="n">
        <v>4</v>
      </c>
      <c r="F9" s="11" t="s">
        <v>25</v>
      </c>
      <c r="G9" s="15" t="n">
        <f aca="false">IF(AND(D9&lt;&gt;"",E9&lt;&gt;""),D9*E9,"")</f>
        <v>347.96</v>
      </c>
      <c r="H9" s="12" t="s">
        <v>259</v>
      </c>
      <c r="I9" s="16" t="s">
        <v>121</v>
      </c>
    </row>
    <row r="10" customFormat="false" ht="15" hidden="false" customHeight="true" outlineLevel="0" collapsed="false">
      <c r="A10" s="11" t="s">
        <v>257</v>
      </c>
      <c r="B10" s="12" t="s">
        <v>260</v>
      </c>
      <c r="C10" s="11" t="s">
        <v>23</v>
      </c>
      <c r="D10" s="40" t="n">
        <v>149</v>
      </c>
      <c r="E10" s="13" t="n">
        <v>2</v>
      </c>
      <c r="F10" s="11" t="s">
        <v>25</v>
      </c>
      <c r="G10" s="15" t="n">
        <f aca="false">IF(AND(D10&lt;&gt;"",E10&lt;&gt;""),D10*E10,"")</f>
        <v>298</v>
      </c>
      <c r="H10" s="12" t="s">
        <v>261</v>
      </c>
      <c r="I10" s="27" t="s">
        <v>41</v>
      </c>
    </row>
    <row r="11" customFormat="false" ht="15" hidden="false" customHeight="true" outlineLevel="0" collapsed="false">
      <c r="A11" s="11" t="s">
        <v>262</v>
      </c>
      <c r="B11" s="12" t="s">
        <v>263</v>
      </c>
      <c r="C11" s="11" t="s">
        <v>23</v>
      </c>
      <c r="D11" s="40" t="n">
        <v>479</v>
      </c>
      <c r="E11" s="13" t="n">
        <v>2</v>
      </c>
      <c r="F11" s="11" t="s">
        <v>25</v>
      </c>
      <c r="G11" s="15" t="n">
        <f aca="false">IF(AND(D11&lt;&gt;"",E11&lt;&gt;""),D11*E11,"")</f>
        <v>958</v>
      </c>
      <c r="H11" s="12" t="s">
        <v>264</v>
      </c>
      <c r="I11" s="27" t="s">
        <v>41</v>
      </c>
    </row>
    <row r="12" customFormat="false" ht="15" hidden="false" customHeight="true" outlineLevel="0" collapsed="false">
      <c r="A12" s="11" t="s">
        <v>262</v>
      </c>
      <c r="B12" s="12" t="s">
        <v>265</v>
      </c>
      <c r="C12" s="11" t="s">
        <v>70</v>
      </c>
      <c r="D12" s="40" t="n">
        <v>0</v>
      </c>
      <c r="E12" s="13" t="n">
        <v>2</v>
      </c>
      <c r="F12" s="11" t="s">
        <v>25</v>
      </c>
      <c r="G12" s="15" t="n">
        <f aca="false">IF(AND(D12&lt;&gt;"",E12&lt;&gt;""),D12*E12,"")</f>
        <v>0</v>
      </c>
      <c r="H12" s="12" t="s">
        <v>266</v>
      </c>
      <c r="I12" s="16" t="s">
        <v>267</v>
      </c>
    </row>
    <row r="13" customFormat="false" ht="16.5" hidden="false" customHeight="true" outlineLevel="0" collapsed="false">
      <c r="A13" s="35" t="s">
        <v>149</v>
      </c>
      <c r="B13" s="35"/>
      <c r="C13" s="35"/>
      <c r="D13" s="35"/>
      <c r="E13" s="35"/>
      <c r="F13" s="35"/>
      <c r="G13" s="35"/>
      <c r="H13" s="35"/>
      <c r="I13" s="35"/>
    </row>
    <row r="14" customFormat="false" ht="15" hidden="false" customHeight="true" outlineLevel="0" collapsed="false">
      <c r="A14" s="11" t="s">
        <v>268</v>
      </c>
      <c r="B14" s="12" t="s">
        <v>269</v>
      </c>
      <c r="C14" s="11" t="s">
        <v>23</v>
      </c>
      <c r="D14" s="40" t="n">
        <v>79.9</v>
      </c>
      <c r="E14" s="13" t="n">
        <v>17</v>
      </c>
      <c r="F14" s="11" t="s">
        <v>25</v>
      </c>
      <c r="G14" s="15" t="n">
        <f aca="false">IF(AND(D14&lt;&gt;"",E14&lt;&gt;""),D14*E14,"")</f>
        <v>1358.3</v>
      </c>
      <c r="H14" s="12" t="s">
        <v>270</v>
      </c>
      <c r="I14" s="27" t="s">
        <v>41</v>
      </c>
    </row>
    <row r="15" customFormat="false" ht="16.5" hidden="false" customHeight="true" outlineLevel="0" collapsed="false">
      <c r="A15" s="35" t="s">
        <v>271</v>
      </c>
      <c r="B15" s="35"/>
      <c r="C15" s="35"/>
      <c r="D15" s="35"/>
      <c r="E15" s="35"/>
      <c r="F15" s="35"/>
      <c r="G15" s="35"/>
      <c r="H15" s="35"/>
      <c r="I15" s="35"/>
    </row>
    <row r="16" customFormat="false" ht="15" hidden="false" customHeight="true" outlineLevel="0" collapsed="false">
      <c r="A16" s="11" t="s">
        <v>272</v>
      </c>
      <c r="B16" s="12" t="s">
        <v>273</v>
      </c>
      <c r="C16" s="11" t="s">
        <v>23</v>
      </c>
      <c r="D16" s="40" t="n">
        <v>9.35</v>
      </c>
      <c r="E16" s="13" t="n">
        <v>4</v>
      </c>
      <c r="F16" s="11" t="s">
        <v>25</v>
      </c>
      <c r="G16" s="15" t="n">
        <f aca="false">IF(AND(D16&lt;&gt;"",E16&lt;&gt;""),D16*E16,"")</f>
        <v>37.4</v>
      </c>
      <c r="H16" s="12" t="s">
        <v>274</v>
      </c>
      <c r="I16" s="27" t="s">
        <v>41</v>
      </c>
    </row>
    <row r="17" customFormat="false" ht="15" hidden="false" customHeight="true" outlineLevel="0" collapsed="false">
      <c r="A17" s="11" t="s">
        <v>272</v>
      </c>
      <c r="B17" s="12" t="s">
        <v>275</v>
      </c>
      <c r="C17" s="11" t="s">
        <v>23</v>
      </c>
      <c r="D17" s="40" t="n">
        <v>4.83</v>
      </c>
      <c r="E17" s="13" t="n">
        <v>12</v>
      </c>
      <c r="F17" s="11" t="s">
        <v>25</v>
      </c>
      <c r="G17" s="15" t="n">
        <f aca="false">IF(AND(D17&lt;&gt;"",E17&lt;&gt;""),D17*E17,"")</f>
        <v>57.96</v>
      </c>
      <c r="H17" s="12" t="s">
        <v>276</v>
      </c>
      <c r="I17" s="27" t="s">
        <v>41</v>
      </c>
    </row>
    <row r="18" customFormat="false" ht="15" hidden="false" customHeight="true" outlineLevel="0" collapsed="false">
      <c r="A18" s="11" t="s">
        <v>277</v>
      </c>
      <c r="B18" s="12" t="s">
        <v>278</v>
      </c>
      <c r="C18" s="11" t="s">
        <v>23</v>
      </c>
      <c r="D18" s="40" t="n">
        <v>369.1</v>
      </c>
      <c r="E18" s="13" t="n">
        <v>1</v>
      </c>
      <c r="F18" s="11" t="s">
        <v>79</v>
      </c>
      <c r="G18" s="15" t="n">
        <f aca="false">IF(AND(D18&lt;&gt;"",E18&lt;&gt;""),D18*E18,"")</f>
        <v>369.1</v>
      </c>
      <c r="H18" s="12" t="s">
        <v>279</v>
      </c>
      <c r="I18" s="27" t="s">
        <v>41</v>
      </c>
    </row>
    <row r="19" customFormat="false" ht="15" hidden="false" customHeight="true" outlineLevel="0" collapsed="false">
      <c r="A19" s="11" t="s">
        <v>277</v>
      </c>
      <c r="B19" s="12" t="s">
        <v>280</v>
      </c>
      <c r="C19" s="11" t="s">
        <v>23</v>
      </c>
      <c r="D19" s="40" t="n">
        <v>228.78</v>
      </c>
      <c r="E19" s="13" t="n">
        <v>1</v>
      </c>
      <c r="F19" s="11" t="s">
        <v>79</v>
      </c>
      <c r="G19" s="15" t="n">
        <f aca="false">IF(AND(D19&lt;&gt;"",E19&lt;&gt;""),D19*E19,"")</f>
        <v>228.78</v>
      </c>
      <c r="H19" s="12" t="s">
        <v>281</v>
      </c>
      <c r="I19" s="27" t="s">
        <v>41</v>
      </c>
    </row>
    <row r="20" customFormat="false" ht="15" hidden="false" customHeight="true" outlineLevel="0" collapsed="false">
      <c r="A20" s="11" t="s">
        <v>277</v>
      </c>
      <c r="B20" s="12" t="s">
        <v>282</v>
      </c>
      <c r="C20" s="11" t="s">
        <v>23</v>
      </c>
      <c r="D20" s="40" t="n">
        <v>72.8</v>
      </c>
      <c r="E20" s="13" t="n">
        <v>1</v>
      </c>
      <c r="F20" s="11" t="s">
        <v>79</v>
      </c>
      <c r="G20" s="15" t="n">
        <f aca="false">IF(AND(D20&lt;&gt;"",E20&lt;&gt;""),D20*E20,"")</f>
        <v>72.8</v>
      </c>
      <c r="H20" s="12" t="s">
        <v>283</v>
      </c>
      <c r="I20" s="27" t="s">
        <v>41</v>
      </c>
    </row>
    <row r="21" customFormat="false" ht="15" hidden="false" customHeight="true" outlineLevel="0" collapsed="false">
      <c r="A21" s="11" t="s">
        <v>277</v>
      </c>
      <c r="B21" s="12" t="s">
        <v>284</v>
      </c>
      <c r="C21" s="11" t="s">
        <v>23</v>
      </c>
      <c r="D21" s="40" t="n">
        <v>120</v>
      </c>
      <c r="E21" s="13" t="n">
        <v>1</v>
      </c>
      <c r="F21" s="11" t="s">
        <v>79</v>
      </c>
      <c r="G21" s="15" t="n">
        <f aca="false">IF(AND(D21&lt;&gt;"",E21&lt;&gt;""),D21*E21,"")</f>
        <v>120</v>
      </c>
      <c r="H21" s="12" t="s">
        <v>285</v>
      </c>
      <c r="I21" s="25" t="s">
        <v>286</v>
      </c>
    </row>
    <row r="22" customFormat="false" ht="16.5" hidden="false" customHeight="true" outlineLevel="0" collapsed="false">
      <c r="A22" s="35" t="s">
        <v>189</v>
      </c>
      <c r="B22" s="35"/>
      <c r="C22" s="35"/>
      <c r="D22" s="35"/>
      <c r="E22" s="35"/>
      <c r="F22" s="35"/>
      <c r="G22" s="35"/>
      <c r="H22" s="35"/>
      <c r="I22" s="35"/>
    </row>
    <row r="23" customFormat="false" ht="15" hidden="false" customHeight="true" outlineLevel="0" collapsed="false">
      <c r="A23" s="11" t="s">
        <v>73</v>
      </c>
      <c r="B23" s="12" t="s">
        <v>287</v>
      </c>
      <c r="C23" s="11" t="s">
        <v>23</v>
      </c>
      <c r="D23" s="40" t="n">
        <v>130</v>
      </c>
      <c r="E23" s="13" t="n">
        <v>2</v>
      </c>
      <c r="F23" s="11" t="s">
        <v>25</v>
      </c>
      <c r="G23" s="15" t="n">
        <f aca="false">IF(AND(D23&lt;&gt;"",E23&lt;&gt;""),D23*E23,"")</f>
        <v>260</v>
      </c>
      <c r="H23" s="12" t="s">
        <v>288</v>
      </c>
      <c r="I23" s="25" t="s">
        <v>286</v>
      </c>
    </row>
    <row r="24" customFormat="false" ht="15" hidden="false" customHeight="true" outlineLevel="0" collapsed="false">
      <c r="A24" s="11" t="s">
        <v>73</v>
      </c>
      <c r="B24" s="12" t="s">
        <v>289</v>
      </c>
      <c r="C24" s="11" t="s">
        <v>23</v>
      </c>
      <c r="D24" s="40" t="n">
        <v>25</v>
      </c>
      <c r="E24" s="13" t="n">
        <v>10</v>
      </c>
      <c r="F24" s="11" t="s">
        <v>25</v>
      </c>
      <c r="G24" s="15" t="n">
        <f aca="false">IF(AND(D24&lt;&gt;"",E24&lt;&gt;""),D24*E24,"")</f>
        <v>250</v>
      </c>
      <c r="H24" s="12" t="s">
        <v>290</v>
      </c>
      <c r="I24" s="25" t="s">
        <v>286</v>
      </c>
    </row>
    <row r="25" customFormat="false" ht="15" hidden="false" customHeight="true" outlineLevel="0" collapsed="false">
      <c r="A25" s="11" t="s">
        <v>73</v>
      </c>
      <c r="B25" s="12" t="s">
        <v>291</v>
      </c>
      <c r="C25" s="11" t="s">
        <v>23</v>
      </c>
      <c r="D25" s="40" t="n">
        <v>120</v>
      </c>
      <c r="E25" s="13" t="n">
        <v>1</v>
      </c>
      <c r="F25" s="11" t="s">
        <v>71</v>
      </c>
      <c r="G25" s="15" t="n">
        <f aca="false">IF(AND(D25&lt;&gt;"",E25&lt;&gt;""),D25*E25,"")</f>
        <v>120</v>
      </c>
      <c r="H25" s="12" t="s">
        <v>292</v>
      </c>
      <c r="I25" s="25" t="s">
        <v>286</v>
      </c>
    </row>
    <row r="26" customFormat="false" ht="15" hidden="false" customHeight="true" outlineLevel="0" collapsed="false">
      <c r="A26" s="11" t="s">
        <v>73</v>
      </c>
      <c r="B26" s="12" t="s">
        <v>293</v>
      </c>
      <c r="C26" s="11" t="s">
        <v>23</v>
      </c>
      <c r="D26" s="40" t="n">
        <v>80</v>
      </c>
      <c r="E26" s="13" t="n">
        <v>1</v>
      </c>
      <c r="F26" s="11" t="s">
        <v>71</v>
      </c>
      <c r="G26" s="15" t="n">
        <f aca="false">IF(AND(D26&lt;&gt;"",E26&lt;&gt;""),D26*E26,"")</f>
        <v>80</v>
      </c>
      <c r="H26" s="12" t="s">
        <v>294</v>
      </c>
      <c r="I26" s="25" t="s">
        <v>286</v>
      </c>
    </row>
    <row r="27" customFormat="false" ht="15" hidden="false" customHeight="true" outlineLevel="0" collapsed="false">
      <c r="A27" s="11" t="s">
        <v>73</v>
      </c>
      <c r="B27" s="12" t="s">
        <v>295</v>
      </c>
      <c r="C27" s="11" t="s">
        <v>23</v>
      </c>
      <c r="D27" s="40" t="n">
        <v>20</v>
      </c>
      <c r="E27" s="13" t="n">
        <v>1</v>
      </c>
      <c r="F27" s="11" t="s">
        <v>25</v>
      </c>
      <c r="G27" s="15" t="n">
        <f aca="false">IF(AND(D27&lt;&gt;"",E27&lt;&gt;""),D27*E27,"")</f>
        <v>20</v>
      </c>
      <c r="H27" s="12" t="s">
        <v>296</v>
      </c>
      <c r="I27" s="25" t="s">
        <v>286</v>
      </c>
    </row>
    <row r="28" customFormat="false" ht="16.5" hidden="false" customHeight="true" outlineLevel="0" collapsed="false">
      <c r="A28" s="35" t="s">
        <v>297</v>
      </c>
      <c r="B28" s="35"/>
      <c r="C28" s="35"/>
      <c r="D28" s="35"/>
      <c r="E28" s="35"/>
      <c r="F28" s="35"/>
      <c r="G28" s="35"/>
      <c r="H28" s="35"/>
      <c r="I28" s="35"/>
    </row>
    <row r="29" customFormat="false" ht="15" hidden="false" customHeight="true" outlineLevel="0" collapsed="false">
      <c r="A29" s="11" t="s">
        <v>89</v>
      </c>
      <c r="B29" s="12" t="s">
        <v>298</v>
      </c>
      <c r="C29" s="11" t="s">
        <v>23</v>
      </c>
      <c r="D29" s="40" t="n">
        <v>144.39</v>
      </c>
      <c r="E29" s="13" t="n">
        <v>2</v>
      </c>
      <c r="F29" s="11" t="s">
        <v>25</v>
      </c>
      <c r="G29" s="15" t="n">
        <f aca="false">IF(AND(D29&lt;&gt;"",E29&lt;&gt;""),D29*E29,"")</f>
        <v>288.78</v>
      </c>
      <c r="H29" s="12" t="s">
        <v>299</v>
      </c>
      <c r="I29" s="27" t="s">
        <v>41</v>
      </c>
    </row>
    <row r="30" customFormat="false" ht="15" hidden="false" customHeight="true" outlineLevel="0" collapsed="false">
      <c r="A30" s="11" t="s">
        <v>89</v>
      </c>
      <c r="B30" s="12" t="s">
        <v>300</v>
      </c>
      <c r="C30" s="11" t="s">
        <v>23</v>
      </c>
      <c r="D30" s="40" t="n">
        <v>150</v>
      </c>
      <c r="E30" s="13" t="n">
        <v>1</v>
      </c>
      <c r="F30" s="11" t="s">
        <v>25</v>
      </c>
      <c r="G30" s="15" t="n">
        <f aca="false">IF(AND(D30&lt;&gt;"",E30&lt;&gt;""),D30*E30,"")</f>
        <v>150</v>
      </c>
      <c r="H30" s="12" t="s">
        <v>301</v>
      </c>
      <c r="I30" s="25" t="s">
        <v>286</v>
      </c>
    </row>
    <row r="32" customFormat="false" ht="15" hidden="false" customHeight="true" outlineLevel="0" collapsed="false">
      <c r="F32" s="41" t="s">
        <v>302</v>
      </c>
      <c r="G32" s="42" t="n">
        <f aca="false">SUM(G5:G30)</f>
        <v>5775.84</v>
      </c>
    </row>
    <row r="33" customFormat="false" ht="15" hidden="false" customHeight="true" outlineLevel="0" collapsed="false">
      <c r="F33" s="29" t="s">
        <v>303</v>
      </c>
      <c r="G33" s="43" t="n">
        <f aca="false">SUMIF(I5:I30,"De cumparat*",G5:G30)</f>
        <v>4753.12</v>
      </c>
    </row>
    <row r="35" customFormat="false" ht="15" hidden="false" customHeight="true" outlineLevel="0" collapsed="false">
      <c r="A35" s="44" t="s">
        <v>304</v>
      </c>
      <c r="B35" s="44"/>
      <c r="C35" s="44"/>
      <c r="D35" s="44"/>
      <c r="E35" s="44"/>
      <c r="F35" s="44"/>
      <c r="G35" s="44"/>
      <c r="H35" s="44"/>
      <c r="I35" s="44"/>
    </row>
  </sheetData>
  <mergeCells count="8">
    <mergeCell ref="A1:I1"/>
    <mergeCell ref="A2:I2"/>
    <mergeCell ref="A5:I5"/>
    <mergeCell ref="A13:I13"/>
    <mergeCell ref="A15:I15"/>
    <mergeCell ref="A22:I22"/>
    <mergeCell ref="A28:I28"/>
    <mergeCell ref="A35:I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3" min="2" style="1" width="13"/>
    <col collapsed="false" customWidth="true" hidden="false" outlineLevel="0" max="4" min="4" style="1" width="6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0" width="11"/>
  </cols>
  <sheetData>
    <row r="1" customFormat="false" ht="27.75" hidden="false" customHeight="true" outlineLevel="0" collapsed="false">
      <c r="A1" s="34" t="s">
        <v>305</v>
      </c>
      <c r="B1" s="34"/>
      <c r="C1" s="34"/>
      <c r="D1" s="34"/>
      <c r="E1" s="34"/>
      <c r="F1" s="34"/>
    </row>
    <row r="2" customFormat="false" ht="15" hidden="false" customHeight="true" outlineLevel="0" collapsed="false">
      <c r="A2" s="3" t="s">
        <v>306</v>
      </c>
      <c r="B2" s="3"/>
      <c r="C2" s="3"/>
      <c r="D2" s="3"/>
      <c r="E2" s="3"/>
      <c r="F2" s="3"/>
    </row>
    <row r="4" customFormat="false" ht="24" hidden="false" customHeight="true" outlineLevel="0" collapsed="false">
      <c r="A4" s="10" t="s">
        <v>307</v>
      </c>
      <c r="B4" s="10" t="s">
        <v>12</v>
      </c>
      <c r="C4" s="10" t="s">
        <v>244</v>
      </c>
      <c r="D4" s="10" t="s">
        <v>245</v>
      </c>
      <c r="E4" s="10" t="s">
        <v>16</v>
      </c>
      <c r="F4" s="10" t="s">
        <v>17</v>
      </c>
      <c r="G4" s="10" t="s">
        <v>308</v>
      </c>
    </row>
    <row r="5" customFormat="false" ht="16.5" hidden="false" customHeight="true" outlineLevel="0" collapsed="false">
      <c r="A5" s="35" t="s">
        <v>309</v>
      </c>
      <c r="B5" s="35"/>
      <c r="C5" s="35"/>
      <c r="D5" s="35"/>
      <c r="E5" s="35"/>
      <c r="F5" s="35"/>
      <c r="G5" s="35"/>
    </row>
    <row r="6" customFormat="false" ht="15" hidden="false" customHeight="true" outlineLevel="0" collapsed="false">
      <c r="A6" s="12" t="s">
        <v>263</v>
      </c>
      <c r="B6" s="11" t="s">
        <v>310</v>
      </c>
      <c r="C6" s="40" t="n">
        <v>479</v>
      </c>
      <c r="D6" s="13" t="n">
        <v>2</v>
      </c>
      <c r="E6" s="15" t="n">
        <f aca="false">C6*D6</f>
        <v>958</v>
      </c>
      <c r="F6" s="16" t="s">
        <v>311</v>
      </c>
      <c r="G6" s="11" t="s">
        <v>312</v>
      </c>
    </row>
    <row r="7" customFormat="false" ht="15" hidden="false" customHeight="true" outlineLevel="0" collapsed="false">
      <c r="A7" s="12" t="s">
        <v>313</v>
      </c>
      <c r="B7" s="11" t="s">
        <v>24</v>
      </c>
      <c r="C7" s="40" t="n">
        <v>149</v>
      </c>
      <c r="D7" s="13" t="n">
        <v>2</v>
      </c>
      <c r="E7" s="15" t="n">
        <f aca="false">C7*D7</f>
        <v>298</v>
      </c>
      <c r="F7" s="16" t="s">
        <v>311</v>
      </c>
      <c r="G7" s="11" t="s">
        <v>314</v>
      </c>
    </row>
    <row r="8" customFormat="false" ht="15" hidden="false" customHeight="true" outlineLevel="0" collapsed="false">
      <c r="A8" s="12" t="s">
        <v>269</v>
      </c>
      <c r="B8" s="11" t="s">
        <v>315</v>
      </c>
      <c r="C8" s="40" t="n">
        <v>79.9</v>
      </c>
      <c r="D8" s="13" t="n">
        <v>17</v>
      </c>
      <c r="E8" s="15" t="n">
        <f aca="false">C8*D8</f>
        <v>1358.3</v>
      </c>
      <c r="F8" s="16" t="s">
        <v>311</v>
      </c>
      <c r="G8" s="11" t="s">
        <v>316</v>
      </c>
    </row>
    <row r="9" customFormat="false" ht="15" hidden="false" customHeight="true" outlineLevel="0" collapsed="false">
      <c r="A9" s="12" t="s">
        <v>273</v>
      </c>
      <c r="B9" s="11" t="s">
        <v>317</v>
      </c>
      <c r="C9" s="40" t="n">
        <v>9.35</v>
      </c>
      <c r="D9" s="13" t="n">
        <v>4</v>
      </c>
      <c r="E9" s="15" t="n">
        <f aca="false">C9*D9</f>
        <v>37.4</v>
      </c>
      <c r="F9" s="16" t="s">
        <v>311</v>
      </c>
      <c r="G9" s="11" t="s">
        <v>318</v>
      </c>
    </row>
    <row r="10" customFormat="false" ht="15" hidden="false" customHeight="true" outlineLevel="0" collapsed="false">
      <c r="A10" s="12" t="s">
        <v>319</v>
      </c>
      <c r="B10" s="11" t="s">
        <v>320</v>
      </c>
      <c r="C10" s="40" t="n">
        <v>4.83</v>
      </c>
      <c r="D10" s="13" t="n">
        <v>12</v>
      </c>
      <c r="E10" s="15" t="n">
        <f aca="false">C10*D10</f>
        <v>57.96</v>
      </c>
      <c r="F10" s="16" t="s">
        <v>311</v>
      </c>
      <c r="G10" s="11" t="s">
        <v>321</v>
      </c>
    </row>
    <row r="11" customFormat="false" ht="15" hidden="false" customHeight="true" outlineLevel="0" collapsed="false">
      <c r="A11" s="12" t="s">
        <v>322</v>
      </c>
      <c r="B11" s="11" t="s">
        <v>323</v>
      </c>
      <c r="C11" s="40" t="n">
        <v>369.1</v>
      </c>
      <c r="D11" s="13" t="n">
        <v>1</v>
      </c>
      <c r="E11" s="15" t="n">
        <f aca="false">C11*D11</f>
        <v>369.1</v>
      </c>
      <c r="F11" s="16" t="s">
        <v>311</v>
      </c>
      <c r="G11" s="11" t="s">
        <v>324</v>
      </c>
    </row>
    <row r="12" customFormat="false" ht="15" hidden="false" customHeight="true" outlineLevel="0" collapsed="false">
      <c r="A12" s="12" t="s">
        <v>325</v>
      </c>
      <c r="B12" s="11" t="s">
        <v>326</v>
      </c>
      <c r="C12" s="40" t="n">
        <v>94.87</v>
      </c>
      <c r="D12" s="13" t="n">
        <v>1</v>
      </c>
      <c r="E12" s="15" t="n">
        <f aca="false">C12*D12</f>
        <v>94.87</v>
      </c>
      <c r="F12" s="16" t="s">
        <v>311</v>
      </c>
      <c r="G12" s="11" t="s">
        <v>327</v>
      </c>
    </row>
    <row r="13" customFormat="false" ht="15" hidden="false" customHeight="true" outlineLevel="0" collapsed="false">
      <c r="A13" s="12" t="s">
        <v>328</v>
      </c>
      <c r="B13" s="11" t="s">
        <v>329</v>
      </c>
      <c r="C13" s="40" t="n">
        <v>72.8</v>
      </c>
      <c r="D13" s="13" t="n">
        <v>1</v>
      </c>
      <c r="E13" s="15" t="n">
        <f aca="false">C13*D13</f>
        <v>72.8</v>
      </c>
      <c r="F13" s="16" t="s">
        <v>311</v>
      </c>
      <c r="G13" s="11" t="s">
        <v>330</v>
      </c>
    </row>
    <row r="14" customFormat="false" ht="15" hidden="false" customHeight="true" outlineLevel="0" collapsed="false">
      <c r="A14" s="12" t="s">
        <v>331</v>
      </c>
      <c r="B14" s="11" t="s">
        <v>332</v>
      </c>
      <c r="C14" s="40" t="n">
        <v>55.82</v>
      </c>
      <c r="D14" s="13" t="n">
        <v>2</v>
      </c>
      <c r="E14" s="15" t="n">
        <f aca="false">C14*D14</f>
        <v>111.64</v>
      </c>
      <c r="F14" s="16" t="s">
        <v>311</v>
      </c>
      <c r="G14" s="11" t="s">
        <v>333</v>
      </c>
    </row>
    <row r="15" customFormat="false" ht="15" hidden="false" customHeight="true" outlineLevel="0" collapsed="false">
      <c r="A15" s="12" t="s">
        <v>334</v>
      </c>
      <c r="B15" s="11" t="s">
        <v>335</v>
      </c>
      <c r="C15" s="40" t="n">
        <v>161.67</v>
      </c>
      <c r="D15" s="13" t="n">
        <v>1</v>
      </c>
      <c r="E15" s="15" t="n">
        <f aca="false">C15*D15</f>
        <v>161.67</v>
      </c>
      <c r="F15" s="16" t="s">
        <v>311</v>
      </c>
      <c r="G15" s="11" t="s">
        <v>336</v>
      </c>
    </row>
    <row r="16" customFormat="false" ht="15" hidden="false" customHeight="true" outlineLevel="0" collapsed="false">
      <c r="A16" s="12" t="s">
        <v>337</v>
      </c>
      <c r="B16" s="11" t="s">
        <v>338</v>
      </c>
      <c r="C16" s="40" t="n">
        <v>144.39</v>
      </c>
      <c r="D16" s="13" t="n">
        <v>2</v>
      </c>
      <c r="E16" s="15" t="n">
        <f aca="false">C16*D16</f>
        <v>288.78</v>
      </c>
      <c r="F16" s="16" t="s">
        <v>311</v>
      </c>
      <c r="G16" s="11" t="s">
        <v>339</v>
      </c>
    </row>
    <row r="17" customFormat="false" ht="16.5" hidden="false" customHeight="true" outlineLevel="0" collapsed="false">
      <c r="A17" s="12" t="s">
        <v>340</v>
      </c>
      <c r="B17" s="11" t="s">
        <v>341</v>
      </c>
      <c r="C17" s="40" t="n">
        <v>25.32</v>
      </c>
      <c r="D17" s="13" t="n">
        <v>1</v>
      </c>
      <c r="E17" s="15" t="n">
        <f aca="false">C17*D17</f>
        <v>25.32</v>
      </c>
      <c r="F17" s="16" t="s">
        <v>311</v>
      </c>
      <c r="G17" s="11" t="s">
        <v>342</v>
      </c>
    </row>
    <row r="18" customFormat="false" ht="15" hidden="false" customHeight="true" outlineLevel="0" collapsed="false">
      <c r="A18" s="12" t="s">
        <v>343</v>
      </c>
      <c r="B18" s="11" t="s">
        <v>344</v>
      </c>
      <c r="C18" s="40" t="n">
        <v>92.5</v>
      </c>
      <c r="D18" s="13" t="n">
        <v>2</v>
      </c>
      <c r="E18" s="15" t="n">
        <f aca="false">C18*D18</f>
        <v>185</v>
      </c>
      <c r="F18" s="16" t="s">
        <v>311</v>
      </c>
      <c r="G18" s="11" t="s">
        <v>345</v>
      </c>
    </row>
    <row r="19" customFormat="false" ht="15" hidden="false" customHeight="true" outlineLevel="0" collapsed="false">
      <c r="A19" s="35" t="s">
        <v>346</v>
      </c>
      <c r="B19" s="35"/>
      <c r="C19" s="35"/>
      <c r="D19" s="35"/>
      <c r="E19" s="35"/>
      <c r="F19" s="35"/>
      <c r="G19" s="35"/>
    </row>
    <row r="20" customFormat="false" ht="15" hidden="false" customHeight="true" outlineLevel="0" collapsed="false">
      <c r="A20" s="12" t="s">
        <v>347</v>
      </c>
      <c r="B20" s="11" t="s">
        <v>70</v>
      </c>
      <c r="C20" s="40" t="n">
        <v>45</v>
      </c>
      <c r="D20" s="13" t="n">
        <v>1</v>
      </c>
      <c r="E20" s="15" t="n">
        <f aca="false">C20*D20</f>
        <v>45</v>
      </c>
      <c r="F20" s="16" t="s">
        <v>348</v>
      </c>
      <c r="G20" s="11" t="s">
        <v>349</v>
      </c>
    </row>
    <row r="21" customFormat="false" ht="15" hidden="false" customHeight="true" outlineLevel="0" collapsed="false">
      <c r="A21" s="12" t="s">
        <v>350</v>
      </c>
      <c r="B21" s="11" t="s">
        <v>70</v>
      </c>
      <c r="C21" s="40" t="n">
        <v>15</v>
      </c>
      <c r="D21" s="13" t="n">
        <v>1</v>
      </c>
      <c r="E21" s="15" t="n">
        <f aca="false">C21*D21</f>
        <v>15</v>
      </c>
      <c r="F21" s="16" t="s">
        <v>348</v>
      </c>
      <c r="G21" s="11" t="s">
        <v>351</v>
      </c>
    </row>
    <row r="22" customFormat="false" ht="15" hidden="false" customHeight="true" outlineLevel="0" collapsed="false">
      <c r="A22" s="12" t="s">
        <v>352</v>
      </c>
      <c r="B22" s="11" t="s">
        <v>70</v>
      </c>
      <c r="C22" s="40" t="n">
        <v>170</v>
      </c>
      <c r="D22" s="13" t="n">
        <v>1</v>
      </c>
      <c r="E22" s="15" t="n">
        <f aca="false">C22*D22</f>
        <v>170</v>
      </c>
      <c r="F22" s="16" t="s">
        <v>348</v>
      </c>
      <c r="G22" s="11" t="s">
        <v>353</v>
      </c>
    </row>
    <row r="23" customFormat="false" ht="15" hidden="false" customHeight="true" outlineLevel="0" collapsed="false">
      <c r="A23" s="12" t="s">
        <v>354</v>
      </c>
      <c r="B23" s="11" t="s">
        <v>70</v>
      </c>
      <c r="C23" s="40" t="n">
        <v>130</v>
      </c>
      <c r="D23" s="13" t="n">
        <v>2</v>
      </c>
      <c r="E23" s="15" t="n">
        <f aca="false">C23*D23</f>
        <v>260</v>
      </c>
      <c r="F23" s="16" t="s">
        <v>348</v>
      </c>
      <c r="G23" s="11" t="s">
        <v>355</v>
      </c>
    </row>
    <row r="24" customFormat="false" ht="15" hidden="false" customHeight="true" outlineLevel="0" collapsed="false">
      <c r="A24" s="12" t="s">
        <v>356</v>
      </c>
      <c r="B24" s="11" t="s">
        <v>70</v>
      </c>
      <c r="C24" s="40" t="n">
        <v>25</v>
      </c>
      <c r="D24" s="13" t="n">
        <v>10</v>
      </c>
      <c r="E24" s="15" t="n">
        <f aca="false">C24*D24</f>
        <v>250</v>
      </c>
      <c r="F24" s="16" t="s">
        <v>348</v>
      </c>
      <c r="G24" s="11" t="s">
        <v>355</v>
      </c>
    </row>
    <row r="25" customFormat="false" ht="15" hidden="false" customHeight="true" outlineLevel="0" collapsed="false">
      <c r="A25" s="12" t="s">
        <v>357</v>
      </c>
      <c r="B25" s="11" t="s">
        <v>70</v>
      </c>
      <c r="C25" s="40" t="n">
        <v>120</v>
      </c>
      <c r="D25" s="13" t="n">
        <v>1</v>
      </c>
      <c r="E25" s="15" t="n">
        <f aca="false">C25*D25</f>
        <v>120</v>
      </c>
      <c r="F25" s="16" t="s">
        <v>348</v>
      </c>
      <c r="G25" s="11" t="s">
        <v>355</v>
      </c>
    </row>
    <row r="26" customFormat="false" ht="15" hidden="false" customHeight="true" outlineLevel="0" collapsed="false">
      <c r="A26" s="12" t="s">
        <v>358</v>
      </c>
      <c r="B26" s="11" t="s">
        <v>70</v>
      </c>
      <c r="C26" s="40" t="n">
        <v>20</v>
      </c>
      <c r="D26" s="13" t="n">
        <v>1</v>
      </c>
      <c r="E26" s="15" t="n">
        <f aca="false">C26*D26</f>
        <v>20</v>
      </c>
      <c r="F26" s="16" t="s">
        <v>348</v>
      </c>
      <c r="G26" s="11" t="s">
        <v>355</v>
      </c>
    </row>
    <row r="27" customFormat="false" ht="15" hidden="false" customHeight="true" outlineLevel="0" collapsed="false">
      <c r="D27" s="45"/>
      <c r="E27" s="46"/>
    </row>
    <row r="28" customFormat="false" ht="15" hidden="false" customHeight="true" outlineLevel="0" collapsed="false">
      <c r="D28" s="45" t="s">
        <v>359</v>
      </c>
      <c r="E28" s="46" t="n">
        <f aca="false">SUMIF(F6:F26,"IN COS",E6:E26)</f>
        <v>4018.84</v>
      </c>
    </row>
    <row r="29" customFormat="false" ht="15" hidden="false" customHeight="true" outlineLevel="0" collapsed="false">
      <c r="A29" s="33"/>
      <c r="D29" s="45" t="s">
        <v>360</v>
      </c>
      <c r="E29" s="46" t="n">
        <v>215</v>
      </c>
    </row>
    <row r="30" customFormat="false" ht="15" hidden="false" customHeight="false" outlineLevel="0" collapsed="false">
      <c r="D30" s="45" t="s">
        <v>361</v>
      </c>
      <c r="E30" s="46" t="n">
        <f aca="false">SUMIF(F6:F26,"de confirmat",E6:E26)</f>
        <v>880</v>
      </c>
    </row>
    <row r="31" customFormat="false" ht="15" hidden="false" customHeight="true" outlineLevel="0" collapsed="false">
      <c r="A31" s="33"/>
    </row>
    <row r="32" customFormat="false" ht="15" hidden="false" customHeight="false" outlineLevel="0" collapsed="false">
      <c r="A32" s="44" t="s">
        <v>362</v>
      </c>
      <c r="B32" s="44"/>
      <c r="C32" s="44"/>
      <c r="D32" s="44"/>
      <c r="E32" s="44"/>
      <c r="F32" s="44"/>
      <c r="G32" s="44"/>
    </row>
  </sheetData>
  <mergeCells count="5">
    <mergeCell ref="A1:F1"/>
    <mergeCell ref="A2:F2"/>
    <mergeCell ref="A5:G5"/>
    <mergeCell ref="A19:G19"/>
    <mergeCell ref="A32:G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4" min="4" style="1" width="7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3"/>
    <col collapsed="false" customWidth="true" hidden="false" outlineLevel="0" max="8" min="8" style="1" width="40"/>
  </cols>
  <sheetData>
    <row r="1" customFormat="false" ht="27.75" hidden="false" customHeight="true" outlineLevel="0" collapsed="false">
      <c r="A1" s="34" t="s">
        <v>363</v>
      </c>
      <c r="B1" s="34"/>
      <c r="C1" s="34"/>
      <c r="D1" s="34"/>
      <c r="E1" s="34"/>
      <c r="F1" s="34"/>
      <c r="G1" s="34"/>
      <c r="H1" s="34"/>
    </row>
    <row r="2" customFormat="false" ht="15" hidden="false" customHeight="true" outlineLevel="0" collapsed="false">
      <c r="A2" s="3" t="s">
        <v>364</v>
      </c>
      <c r="B2" s="3"/>
      <c r="C2" s="3"/>
      <c r="D2" s="3"/>
      <c r="E2" s="3"/>
      <c r="F2" s="3"/>
      <c r="G2" s="3"/>
      <c r="H2" s="3"/>
    </row>
    <row r="4" customFormat="false" ht="24" hidden="false" customHeight="true" outlineLevel="0" collapsed="false">
      <c r="A4" s="10" t="s">
        <v>8</v>
      </c>
      <c r="B4" s="10" t="s">
        <v>365</v>
      </c>
      <c r="C4" s="10" t="s">
        <v>366</v>
      </c>
      <c r="D4" s="10" t="s">
        <v>367</v>
      </c>
      <c r="E4" s="10" t="s">
        <v>368</v>
      </c>
      <c r="F4" s="10" t="s">
        <v>369</v>
      </c>
      <c r="G4" s="10" t="s">
        <v>370</v>
      </c>
      <c r="H4" s="10" t="s">
        <v>19</v>
      </c>
    </row>
    <row r="5" customFormat="false" ht="16.5" hidden="false" customHeight="true" outlineLevel="0" collapsed="false">
      <c r="A5" s="35" t="s">
        <v>371</v>
      </c>
      <c r="B5" s="35"/>
      <c r="C5" s="35"/>
      <c r="D5" s="35"/>
      <c r="E5" s="35"/>
      <c r="F5" s="35"/>
      <c r="G5" s="35"/>
      <c r="H5" s="35"/>
    </row>
    <row r="6" customFormat="false" ht="21.75" hidden="false" customHeight="true" outlineLevel="0" collapsed="false">
      <c r="A6" s="11" t="s">
        <v>372</v>
      </c>
      <c r="B6" s="12" t="s">
        <v>373</v>
      </c>
      <c r="C6" s="27" t="s">
        <v>374</v>
      </c>
      <c r="D6" s="36"/>
      <c r="E6" s="36"/>
      <c r="F6" s="36"/>
      <c r="G6" s="36"/>
      <c r="H6" s="12" t="s">
        <v>375</v>
      </c>
    </row>
    <row r="7" customFormat="false" ht="15" hidden="false" customHeight="true" outlineLevel="0" collapsed="false">
      <c r="A7" s="11" t="s">
        <v>372</v>
      </c>
      <c r="B7" s="12" t="s">
        <v>376</v>
      </c>
      <c r="C7" s="27" t="s">
        <v>374</v>
      </c>
      <c r="D7" s="36"/>
      <c r="E7" s="36"/>
      <c r="F7" s="36"/>
      <c r="G7" s="36"/>
      <c r="H7" s="12" t="s">
        <v>377</v>
      </c>
    </row>
    <row r="8" customFormat="false" ht="15" hidden="false" customHeight="true" outlineLevel="0" collapsed="false">
      <c r="A8" s="11" t="s">
        <v>372</v>
      </c>
      <c r="B8" s="12" t="s">
        <v>378</v>
      </c>
      <c r="C8" s="16" t="s">
        <v>379</v>
      </c>
      <c r="D8" s="36"/>
      <c r="E8" s="36"/>
      <c r="F8" s="36"/>
      <c r="G8" s="36" t="s">
        <v>380</v>
      </c>
      <c r="H8" s="12" t="s">
        <v>381</v>
      </c>
    </row>
    <row r="9" customFormat="false" ht="15" hidden="false" customHeight="true" outlineLevel="0" collapsed="false">
      <c r="A9" s="11" t="s">
        <v>372</v>
      </c>
      <c r="B9" s="12" t="s">
        <v>382</v>
      </c>
      <c r="C9" s="25" t="s">
        <v>383</v>
      </c>
      <c r="D9" s="36"/>
      <c r="E9" s="36"/>
      <c r="F9" s="36"/>
      <c r="G9" s="36"/>
      <c r="H9" s="12" t="s">
        <v>384</v>
      </c>
    </row>
    <row r="10" customFormat="false" ht="16.5" hidden="false" customHeight="true" outlineLevel="0" collapsed="false">
      <c r="A10" s="35" t="s">
        <v>385</v>
      </c>
      <c r="B10" s="35"/>
      <c r="C10" s="35"/>
      <c r="D10" s="35"/>
      <c r="E10" s="35"/>
      <c r="F10" s="35"/>
      <c r="G10" s="35"/>
      <c r="H10" s="35"/>
    </row>
    <row r="11" customFormat="false" ht="15" hidden="false" customHeight="true" outlineLevel="0" collapsed="false">
      <c r="A11" s="11" t="s">
        <v>386</v>
      </c>
      <c r="B11" s="12" t="s">
        <v>387</v>
      </c>
      <c r="C11" s="27" t="s">
        <v>374</v>
      </c>
      <c r="D11" s="36"/>
      <c r="E11" s="36"/>
      <c r="F11" s="36"/>
      <c r="G11" s="36"/>
      <c r="H11" s="12" t="s">
        <v>388</v>
      </c>
    </row>
    <row r="12" customFormat="false" ht="15" hidden="false" customHeight="true" outlineLevel="0" collapsed="false">
      <c r="A12" s="11" t="s">
        <v>386</v>
      </c>
      <c r="B12" s="12" t="s">
        <v>389</v>
      </c>
      <c r="C12" s="27" t="s">
        <v>374</v>
      </c>
      <c r="D12" s="36"/>
      <c r="E12" s="36"/>
      <c r="F12" s="36"/>
      <c r="G12" s="36"/>
      <c r="H12" s="12" t="s">
        <v>390</v>
      </c>
    </row>
    <row r="13" customFormat="false" ht="15" hidden="false" customHeight="true" outlineLevel="0" collapsed="false">
      <c r="A13" s="11" t="s">
        <v>386</v>
      </c>
      <c r="B13" s="12" t="s">
        <v>391</v>
      </c>
      <c r="C13" s="27" t="s">
        <v>374</v>
      </c>
      <c r="D13" s="36"/>
      <c r="E13" s="36"/>
      <c r="F13" s="36"/>
      <c r="G13" s="36"/>
      <c r="H13" s="12"/>
    </row>
    <row r="14" customFormat="false" ht="15" hidden="false" customHeight="true" outlineLevel="0" collapsed="false">
      <c r="A14" s="11" t="s">
        <v>386</v>
      </c>
      <c r="B14" s="12" t="s">
        <v>392</v>
      </c>
      <c r="C14" s="25" t="s">
        <v>393</v>
      </c>
      <c r="D14" s="36"/>
      <c r="E14" s="36"/>
      <c r="F14" s="36"/>
      <c r="G14" s="36"/>
      <c r="H14" s="12" t="s">
        <v>394</v>
      </c>
    </row>
    <row r="15" customFormat="false" ht="15" hidden="false" customHeight="true" outlineLevel="0" collapsed="false">
      <c r="A15" s="11" t="s">
        <v>386</v>
      </c>
      <c r="B15" s="12" t="s">
        <v>395</v>
      </c>
      <c r="C15" s="27" t="s">
        <v>374</v>
      </c>
      <c r="D15" s="36"/>
      <c r="E15" s="36"/>
      <c r="F15" s="36"/>
      <c r="G15" s="36"/>
      <c r="H15" s="12" t="s">
        <v>396</v>
      </c>
    </row>
    <row r="16" customFormat="false" ht="16.5" hidden="false" customHeight="true" outlineLevel="0" collapsed="false">
      <c r="A16" s="35" t="s">
        <v>397</v>
      </c>
      <c r="B16" s="35"/>
      <c r="C16" s="35"/>
      <c r="D16" s="35"/>
      <c r="E16" s="35"/>
      <c r="F16" s="35"/>
      <c r="G16" s="35"/>
      <c r="H16" s="35"/>
    </row>
    <row r="17" customFormat="false" ht="15" hidden="false" customHeight="true" outlineLevel="0" collapsed="false">
      <c r="A17" s="11" t="s">
        <v>398</v>
      </c>
      <c r="B17" s="12" t="s">
        <v>399</v>
      </c>
      <c r="C17" s="27" t="s">
        <v>374</v>
      </c>
      <c r="D17" s="36"/>
      <c r="E17" s="36"/>
      <c r="F17" s="36"/>
      <c r="G17" s="36"/>
      <c r="H17" s="12" t="s">
        <v>400</v>
      </c>
    </row>
    <row r="18" customFormat="false" ht="15" hidden="false" customHeight="true" outlineLevel="0" collapsed="false">
      <c r="A18" s="11" t="s">
        <v>398</v>
      </c>
      <c r="B18" s="12" t="s">
        <v>401</v>
      </c>
      <c r="C18" s="27" t="s">
        <v>374</v>
      </c>
      <c r="D18" s="36"/>
      <c r="E18" s="36"/>
      <c r="F18" s="36"/>
      <c r="G18" s="36"/>
      <c r="H18" s="12"/>
    </row>
    <row r="19" customFormat="false" ht="15" hidden="false" customHeight="true" outlineLevel="0" collapsed="false">
      <c r="A19" s="11" t="s">
        <v>398</v>
      </c>
      <c r="B19" s="12" t="s">
        <v>402</v>
      </c>
      <c r="C19" s="27" t="s">
        <v>374</v>
      </c>
      <c r="D19" s="36"/>
      <c r="E19" s="36"/>
      <c r="F19" s="36"/>
      <c r="G19" s="36"/>
      <c r="H19" s="12"/>
    </row>
    <row r="20" customFormat="false" ht="15" hidden="false" customHeight="true" outlineLevel="0" collapsed="false">
      <c r="A20" s="11" t="s">
        <v>398</v>
      </c>
      <c r="B20" s="12" t="s">
        <v>403</v>
      </c>
      <c r="C20" s="25" t="s">
        <v>393</v>
      </c>
      <c r="D20" s="36"/>
      <c r="E20" s="36"/>
      <c r="F20" s="36"/>
      <c r="G20" s="36"/>
      <c r="H20" s="12" t="s">
        <v>404</v>
      </c>
    </row>
    <row r="21" customFormat="false" ht="15" hidden="false" customHeight="true" outlineLevel="0" collapsed="false">
      <c r="A21" s="11" t="s">
        <v>398</v>
      </c>
      <c r="B21" s="12" t="s">
        <v>405</v>
      </c>
      <c r="C21" s="25" t="s">
        <v>393</v>
      </c>
      <c r="D21" s="36"/>
      <c r="E21" s="36"/>
      <c r="F21" s="36"/>
      <c r="G21" s="36"/>
      <c r="H21" s="12"/>
    </row>
    <row r="22" customFormat="false" ht="16.5" hidden="false" customHeight="true" outlineLevel="0" collapsed="false">
      <c r="A22" s="35" t="s">
        <v>406</v>
      </c>
      <c r="B22" s="35"/>
      <c r="C22" s="35"/>
      <c r="D22" s="35"/>
      <c r="E22" s="35"/>
      <c r="F22" s="35"/>
      <c r="G22" s="35"/>
      <c r="H22" s="35"/>
    </row>
    <row r="23" customFormat="false" ht="15" hidden="false" customHeight="true" outlineLevel="0" collapsed="false">
      <c r="A23" s="11" t="s">
        <v>407</v>
      </c>
      <c r="B23" s="12" t="s">
        <v>408</v>
      </c>
      <c r="C23" s="27" t="s">
        <v>374</v>
      </c>
      <c r="D23" s="36"/>
      <c r="E23" s="36"/>
      <c r="F23" s="36"/>
      <c r="G23" s="36"/>
      <c r="H23" s="12" t="s">
        <v>409</v>
      </c>
    </row>
    <row r="24" customFormat="false" ht="15" hidden="false" customHeight="true" outlineLevel="0" collapsed="false">
      <c r="A24" s="11" t="s">
        <v>410</v>
      </c>
      <c r="B24" s="12" t="s">
        <v>411</v>
      </c>
      <c r="C24" s="27" t="s">
        <v>374</v>
      </c>
      <c r="D24" s="36"/>
      <c r="E24" s="36"/>
      <c r="F24" s="36"/>
      <c r="G24" s="36"/>
      <c r="H24" s="12" t="s">
        <v>412</v>
      </c>
    </row>
    <row r="25" customFormat="false" ht="15" hidden="false" customHeight="true" outlineLevel="0" collapsed="false">
      <c r="A25" s="11" t="s">
        <v>410</v>
      </c>
      <c r="B25" s="12" t="s">
        <v>413</v>
      </c>
      <c r="C25" s="25" t="s">
        <v>393</v>
      </c>
      <c r="D25" s="36"/>
      <c r="E25" s="36"/>
      <c r="F25" s="36"/>
      <c r="G25" s="36"/>
      <c r="H25" s="12" t="s">
        <v>414</v>
      </c>
    </row>
    <row r="26" customFormat="false" ht="16.5" hidden="false" customHeight="true" outlineLevel="0" collapsed="false">
      <c r="A26" s="35" t="s">
        <v>415</v>
      </c>
      <c r="B26" s="35"/>
      <c r="C26" s="35"/>
      <c r="D26" s="35"/>
      <c r="E26" s="35"/>
      <c r="F26" s="35"/>
      <c r="G26" s="35"/>
      <c r="H26" s="35"/>
    </row>
    <row r="27" customFormat="false" ht="15" hidden="false" customHeight="true" outlineLevel="0" collapsed="false">
      <c r="A27" s="11" t="s">
        <v>416</v>
      </c>
      <c r="B27" s="12" t="s">
        <v>417</v>
      </c>
      <c r="C27" s="27" t="s">
        <v>374</v>
      </c>
      <c r="D27" s="36"/>
      <c r="E27" s="36"/>
      <c r="F27" s="36"/>
      <c r="G27" s="36"/>
      <c r="H27" s="12"/>
    </row>
    <row r="28" customFormat="false" ht="15" hidden="false" customHeight="true" outlineLevel="0" collapsed="false">
      <c r="A28" s="11" t="s">
        <v>416</v>
      </c>
      <c r="B28" s="12" t="s">
        <v>418</v>
      </c>
      <c r="C28" s="27" t="s">
        <v>374</v>
      </c>
      <c r="D28" s="36"/>
      <c r="E28" s="36"/>
      <c r="F28" s="36"/>
      <c r="G28" s="36"/>
      <c r="H28" s="12"/>
    </row>
    <row r="29" customFormat="false" ht="15" hidden="false" customHeight="true" outlineLevel="0" collapsed="false">
      <c r="A29" s="11" t="s">
        <v>416</v>
      </c>
      <c r="B29" s="12" t="s">
        <v>419</v>
      </c>
      <c r="C29" s="27" t="s">
        <v>374</v>
      </c>
      <c r="D29" s="36"/>
      <c r="E29" s="36"/>
      <c r="F29" s="36"/>
      <c r="G29" s="36"/>
      <c r="H29" s="12" t="s">
        <v>420</v>
      </c>
    </row>
    <row r="30" customFormat="false" ht="15" hidden="false" customHeight="true" outlineLevel="0" collapsed="false">
      <c r="A30" s="11" t="s">
        <v>416</v>
      </c>
      <c r="B30" s="12" t="s">
        <v>421</v>
      </c>
      <c r="C30" s="25" t="s">
        <v>393</v>
      </c>
      <c r="D30" s="36"/>
      <c r="E30" s="36"/>
      <c r="F30" s="36"/>
      <c r="G30" s="36"/>
      <c r="H30" s="12" t="s">
        <v>422</v>
      </c>
    </row>
    <row r="31" customFormat="false" ht="16.5" hidden="false" customHeight="true" outlineLevel="0" collapsed="false">
      <c r="A31" s="35" t="s">
        <v>423</v>
      </c>
      <c r="B31" s="35"/>
      <c r="C31" s="35"/>
      <c r="D31" s="35"/>
      <c r="E31" s="35"/>
      <c r="F31" s="35"/>
      <c r="G31" s="35"/>
      <c r="H31" s="35"/>
    </row>
    <row r="32" customFormat="false" ht="15" hidden="false" customHeight="true" outlineLevel="0" collapsed="false">
      <c r="A32" s="11" t="s">
        <v>89</v>
      </c>
      <c r="B32" s="12" t="s">
        <v>424</v>
      </c>
      <c r="C32" s="25" t="s">
        <v>425</v>
      </c>
      <c r="D32" s="36"/>
      <c r="E32" s="36"/>
      <c r="F32" s="36"/>
      <c r="G32" s="36"/>
      <c r="H32" s="12" t="s">
        <v>426</v>
      </c>
    </row>
    <row r="33" customFormat="false" ht="15" hidden="false" customHeight="true" outlineLevel="0" collapsed="false">
      <c r="A33" s="11" t="s">
        <v>427</v>
      </c>
      <c r="B33" s="12" t="s">
        <v>428</v>
      </c>
      <c r="C33" s="16" t="s">
        <v>429</v>
      </c>
      <c r="D33" s="36"/>
      <c r="E33" s="36"/>
      <c r="F33" s="36"/>
      <c r="G33" s="36"/>
      <c r="H33" s="12" t="s">
        <v>430</v>
      </c>
    </row>
    <row r="34" customFormat="false" ht="15" hidden="false" customHeight="true" outlineLevel="0" collapsed="false">
      <c r="A34" s="11" t="s">
        <v>427</v>
      </c>
      <c r="B34" s="12" t="s">
        <v>431</v>
      </c>
      <c r="C34" s="25" t="s">
        <v>393</v>
      </c>
      <c r="D34" s="36"/>
      <c r="E34" s="36"/>
      <c r="F34" s="36"/>
      <c r="G34" s="36"/>
      <c r="H34" s="12"/>
    </row>
    <row r="36" customFormat="false" ht="15" hidden="false" customHeight="true" outlineLevel="0" collapsed="false">
      <c r="A36" s="44" t="s">
        <v>432</v>
      </c>
      <c r="B36" s="44"/>
      <c r="C36" s="44"/>
      <c r="D36" s="44"/>
      <c r="E36" s="44"/>
      <c r="F36" s="44"/>
      <c r="G36" s="44"/>
      <c r="H36" s="44"/>
    </row>
  </sheetData>
  <mergeCells count="9">
    <mergeCell ref="A1:H1"/>
    <mergeCell ref="A2:H2"/>
    <mergeCell ref="A5:H5"/>
    <mergeCell ref="A10:H10"/>
    <mergeCell ref="A16:H16"/>
    <mergeCell ref="A22:H22"/>
    <mergeCell ref="A26:H26"/>
    <mergeCell ref="A31:H31"/>
    <mergeCell ref="A36:H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2026-06-07T13:58:22Z</dcterms:created>
  <dc:creator>openpyxl</dc:creator>
  <dc:description/>
  <dc:language>en-US</dc:language>
  <cp:lastModifiedBy/>
  <dcterms:modified xsi:type="dcterms:W3CDTF">2026-06-08T13:53:34Z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