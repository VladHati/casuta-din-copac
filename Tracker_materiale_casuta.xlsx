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8500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Sosit 18.06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Sosit 18.06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Sosit 18.06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talpic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spate: polita + TALPICUL de sub ea (bloc ~180, reazem la compresiune) + blocaje + incadrare gaura. Gratis din offcut — nu se cumpara nimic in plus.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47" t="inlineStr">
        <is>
          <t>Balustrada</t>
        </is>
      </c>
      <c r="B20" s="47" t="inlineStr">
        <is>
          <t>Buloane M10 (balustrada)</t>
        </is>
      </c>
      <c r="C20" s="47" t="inlineStr">
        <is>
          <t>M10×120 + piulita + saiba</t>
        </is>
      </c>
      <c r="D20" s="47" t="inlineStr">
        <is>
          <t>Hornbach</t>
        </is>
      </c>
      <c r="E20" s="47" t="inlineStr">
        <is>
          <t>-</t>
        </is>
      </c>
      <c r="F20" s="47" t="n">
        <v>12</v>
      </c>
      <c r="G20" s="47" t="inlineStr">
        <is>
          <t>buc</t>
        </is>
      </c>
      <c r="H20" s="47" t="n">
        <v>3.5</v>
      </c>
      <c r="I20" s="47">
        <f>IF(AND(F20&lt;&gt;"",H20&lt;&gt;""),F20*H20,"")</f>
        <v/>
      </c>
      <c r="J20" s="47" t="inlineStr">
        <is>
          <t>De cumparat</t>
        </is>
      </c>
      <c r="K20" s="47" t="inlineStr"/>
      <c r="L20" s="47" t="inlineStr">
        <is>
          <t>Faza 1; prinde stalpisorii 58x58 de cadru</t>
        </is>
      </c>
    </row>
    <row r="21" ht="15" customHeight="1" s="48">
      <c r="A21" s="65" t="inlineStr">
        <is>
          <t>Pereti</t>
        </is>
      </c>
      <c r="B21" s="66" t="inlineStr">
        <is>
          <t>Scanduri pereti partiali</t>
        </is>
      </c>
      <c r="C21" s="65" t="inlineStr">
        <is>
          <t>28x90 mm</t>
        </is>
      </c>
      <c r="D21" s="65" t="n"/>
      <c r="E21" s="65" t="n"/>
      <c r="F21" s="67" t="n">
        <v>16</v>
      </c>
      <c r="G21" s="65" t="inlineStr">
        <is>
          <t>buc</t>
        </is>
      </c>
      <c r="H21" s="68" t="n">
        <v>38</v>
      </c>
      <c r="I21" s="69">
        <f>IF(AND(F21&lt;&gt;"",H21&lt;&gt;""),F21*H21,"")</f>
        <v/>
      </c>
      <c r="J21" s="73" t="inlineStr">
        <is>
          <t>De cumparat</t>
        </is>
      </c>
      <c r="K21" s="66" t="n"/>
      <c r="L21" s="66" t="inlineStr">
        <is>
          <t>Pereti pana la jumatate + ferestre</t>
        </is>
      </c>
    </row>
    <row r="22" ht="21.75" customHeight="1" s="48">
      <c r="A22" s="94" t="inlineStr">
        <is>
          <t>Acoperis</t>
        </is>
      </c>
      <c r="B22" s="95" t="inlineStr">
        <is>
          <t>Capriori acoperis</t>
        </is>
      </c>
      <c r="C22" s="94" t="inlineStr">
        <is>
          <t>60x100 mm</t>
        </is>
      </c>
      <c r="D22" s="94" t="n"/>
      <c r="E22" s="94" t="n"/>
      <c r="F22" s="60" t="n">
        <v>4</v>
      </c>
      <c r="G22" s="94" t="inlineStr">
        <is>
          <t>buc</t>
        </is>
      </c>
      <c r="H22" s="61" t="n">
        <v>39</v>
      </c>
      <c r="I22" s="62">
        <f>IF(AND(F22&lt;&gt;"",H22&lt;&gt;""),F22*H22,"")</f>
        <v/>
      </c>
      <c r="J22" s="74" t="inlineStr">
        <is>
          <t>De cumparat</t>
        </is>
      </c>
      <c r="K22" s="95" t="n"/>
      <c r="L22" s="95" t="inlineStr">
        <is>
          <t>Structura acoperis inclinat</t>
        </is>
      </c>
    </row>
    <row r="23" ht="15" customHeight="1" s="48">
      <c r="A23" s="65" t="inlineStr">
        <is>
          <t>Acoperis</t>
        </is>
      </c>
      <c r="B23" s="66" t="inlineStr">
        <is>
          <t>Invelitoare (policarbonat/scandura)</t>
        </is>
      </c>
      <c r="C23" s="65" t="inlineStr">
        <is>
          <t>-</t>
        </is>
      </c>
      <c r="D23" s="65" t="n"/>
      <c r="E23" s="65" t="n"/>
      <c r="F23" s="67" t="n">
        <v>1</v>
      </c>
      <c r="G23" s="65" t="inlineStr">
        <is>
          <t>set</t>
        </is>
      </c>
      <c r="H23" s="68" t="n"/>
      <c r="I23" s="69">
        <f>IF(AND(F23&lt;&gt;"",H23&lt;&gt;""),F23*H23,"")</f>
        <v/>
      </c>
      <c r="J23" s="75" t="inlineStr">
        <is>
          <t>De decis</t>
        </is>
      </c>
      <c r="K23" s="66" t="n"/>
      <c r="L23" s="66" t="inlineStr">
        <is>
          <t>Policarbonat ondulat sau sindrila bituminoasa</t>
        </is>
      </c>
    </row>
    <row r="24" ht="15" customHeight="1" s="48">
      <c r="A24" s="94" t="inlineStr">
        <is>
          <t>Scara</t>
        </is>
      </c>
      <c r="B24" s="95" t="inlineStr">
        <is>
          <t>Scara fixa + balustrada</t>
        </is>
      </c>
      <c r="C24" s="94" t="inlineStr">
        <is>
          <t>-</t>
        </is>
      </c>
      <c r="D24" s="94" t="n"/>
      <c r="E24" s="94" t="n"/>
      <c r="F24" s="60" t="n">
        <v>1</v>
      </c>
      <c r="G24" s="94" t="inlineStr">
        <is>
          <t>set</t>
        </is>
      </c>
      <c r="H24" s="61" t="n"/>
      <c r="I24" s="62">
        <f>IF(AND(F24&lt;&gt;"",H24&lt;&gt;""),F24*H24,"")</f>
        <v/>
      </c>
      <c r="J24" s="74" t="inlineStr">
        <is>
          <t>De cumparat</t>
        </is>
      </c>
      <c r="K24" s="95" t="n"/>
      <c r="L24" s="95" t="inlineStr">
        <is>
          <t>Cu balustrada, NU franghie</t>
        </is>
      </c>
    </row>
    <row r="25" ht="15" customHeight="1" s="48">
      <c r="A25" s="65" t="inlineStr">
        <is>
          <t>Feronerie</t>
        </is>
      </c>
      <c r="B25" s="66" t="inlineStr">
        <is>
          <t>Suruburi structurale Heco (set)</t>
        </is>
      </c>
      <c r="C25" s="65" t="inlineStr">
        <is>
          <t>8x200 + 6x100 + 6x80, 3 pac</t>
        </is>
      </c>
      <c r="D25" s="65" t="inlineStr">
        <is>
          <t>Hornbach</t>
        </is>
      </c>
      <c r="E25" s="65" t="inlineStr">
        <is>
          <t>10434633/398/139</t>
        </is>
      </c>
      <c r="F25" s="67" t="n">
        <v>3</v>
      </c>
      <c r="G25" s="65" t="inlineStr">
        <is>
          <t>pac</t>
        </is>
      </c>
      <c r="H25" s="68" t="n"/>
      <c r="I25" s="69" t="n">
        <v>536.77</v>
      </c>
      <c r="J25" s="73" t="inlineStr">
        <is>
          <t>Sosit 18.06</t>
        </is>
      </c>
      <c r="K25" s="66" t="n"/>
      <c r="L25" s="66" t="inlineStr">
        <is>
          <t>Imbinari grinzi/stalpi/contrafise/blocaje · comanda 09.06.2026</t>
        </is>
      </c>
    </row>
    <row r="26" ht="15" customHeight="1" s="48">
      <c r="A26" s="94" t="inlineStr">
        <is>
          <t>Feronerie</t>
        </is>
      </c>
      <c r="B26" s="95" t="inlineStr">
        <is>
          <t>Suruburi dusumea inox</t>
        </is>
      </c>
      <c r="C26" s="94" t="inlineStr">
        <is>
          <t>A2 5x60, 3 pac (300)</t>
        </is>
      </c>
      <c r="D26" s="94" t="inlineStr">
        <is>
          <t>Hornbach</t>
        </is>
      </c>
      <c r="E26" s="94" t="inlineStr">
        <is>
          <t>10528829</t>
        </is>
      </c>
      <c r="F26" s="60" t="n">
        <v>3</v>
      </c>
      <c r="G26" s="94" t="inlineStr">
        <is>
          <t>pac</t>
        </is>
      </c>
      <c r="H26" s="61" t="n">
        <v>55.82</v>
      </c>
      <c r="I26" s="62">
        <f>IF(AND(F26&lt;&gt;"",H26&lt;&gt;""),F26*H26,"")</f>
        <v/>
      </c>
      <c r="J26" s="74" t="inlineStr">
        <is>
          <t>Sosit 18.06</t>
        </is>
      </c>
      <c r="K26" s="95" t="n"/>
      <c r="L26" s="95" t="inlineStr">
        <is>
          <t>Prindere larice (~204 buc necesare, 3 pachete) · comanda 09.06.2026</t>
        </is>
      </c>
    </row>
    <row r="27" ht="15" customHeight="1" s="48">
      <c r="A27" s="65" t="inlineStr">
        <is>
          <t>Feronerie</t>
        </is>
      </c>
      <c r="B27" s="66" t="inlineStr">
        <is>
          <t>Coltare imbinare C1 + C2</t>
        </is>
      </c>
      <c r="C27" s="65" t="inlineStr">
        <is>
          <t>4x 100x100x90 + 14x 90x90x65</t>
        </is>
      </c>
      <c r="D27" s="65" t="inlineStr">
        <is>
          <t>Hornbach</t>
        </is>
      </c>
      <c r="E27" s="65" t="inlineStr">
        <is>
          <t>738965 / 738910</t>
        </is>
      </c>
      <c r="F27" s="67" t="n">
        <v>18</v>
      </c>
      <c r="G27" s="65" t="inlineStr">
        <is>
          <t>buc</t>
        </is>
      </c>
      <c r="H27" s="68" t="n"/>
      <c r="I27" s="69" t="n">
        <v>95.36</v>
      </c>
      <c r="J27" s="73" t="inlineStr">
        <is>
          <t>Sosit 18.06</t>
        </is>
      </c>
      <c r="K27" s="66" t="n"/>
      <c r="L27" s="66" t="inlineStr">
        <is>
          <t>C1 grinda fata-&gt;stalp (4); C2 anti-ridicare (12 joiste + 2 grinda spate = 14) · comanda 09.06.2026</t>
        </is>
      </c>
    </row>
    <row r="28" ht="15" customHeight="1" s="48">
      <c r="A28" s="94" t="inlineStr">
        <is>
          <t>Feronerie</t>
        </is>
      </c>
      <c r="B28" s="95" t="inlineStr">
        <is>
          <t>Buloane M12: baza papuc + tija polita + piulite</t>
        </is>
      </c>
      <c r="C28" s="94" t="inlineStr">
        <is>
          <t>M12x120 (8) baza + tija M12 (4x~220) polita</t>
        </is>
      </c>
      <c r="D28" s="94" t="inlineStr">
        <is>
          <t>Hornbach</t>
        </is>
      </c>
      <c r="E28" s="94" t="inlineStr">
        <is>
          <t>6834285 / 12130958 / 3830642</t>
        </is>
      </c>
      <c r="F28" s="60" t="n">
        <v>1</v>
      </c>
      <c r="G28" s="94" t="inlineStr">
        <is>
          <t>set</t>
        </is>
      </c>
      <c r="H28" s="61" t="n"/>
      <c r="I28" s="62" t="n">
        <v>239.39</v>
      </c>
      <c r="J28" s="74" t="inlineStr">
        <is>
          <t>Sosit 18.06</t>
        </is>
      </c>
      <c r="K28" s="95" t="n"/>
      <c r="L28" s="95" t="inlineStr">
        <is>
          <t>Baza papuc (B2) + polita din tija taiata (B1) + piulite (B4) + saibe (B3). Toate in cos. · comanda 09.06.2026</t>
        </is>
      </c>
    </row>
    <row r="29" ht="15" customHeight="1" s="48">
      <c r="A29" s="65" t="inlineStr">
        <is>
          <t>Finisaj</t>
        </is>
      </c>
      <c r="B29" s="66" t="inlineStr">
        <is>
          <t>Ulei lemn tec (dusumea larice)</t>
        </is>
      </c>
      <c r="C29" s="65" t="inlineStr">
        <is>
          <t>Hornbach Plus 2,5 l</t>
        </is>
      </c>
      <c r="D29" s="65" t="inlineStr">
        <is>
          <t>Hornbach</t>
        </is>
      </c>
      <c r="E29" s="65" t="inlineStr">
        <is>
          <t>5509678</t>
        </is>
      </c>
      <c r="F29" s="67" t="n">
        <v>2</v>
      </c>
      <c r="G29" s="65" t="inlineStr">
        <is>
          <t>buc</t>
        </is>
      </c>
      <c r="H29" s="68" t="n">
        <v>144.39</v>
      </c>
      <c r="I29" s="69">
        <f>IF(AND(F29&lt;&gt;"",H29&lt;&gt;""),F29*H29,"")</f>
        <v/>
      </c>
      <c r="J29" s="73" t="inlineStr">
        <is>
          <t>Sosit 18.06</t>
        </is>
      </c>
      <c r="K29" s="66" t="n"/>
      <c r="L29" s="66" t="inlineStr">
        <is>
          <t>Finisaj larice + lemn expus · comanda 09.06.2026</t>
        </is>
      </c>
    </row>
    <row r="30" ht="15" customHeight="1" s="48">
      <c r="A30" s="94" t="inlineStr">
        <is>
          <t>Finisaj</t>
        </is>
      </c>
      <c r="B30" s="95" t="inlineStr">
        <is>
          <t>Grund impregnare lemn (AVEM)</t>
        </is>
      </c>
      <c r="C30" s="94" t="inlineStr">
        <is>
          <t>Köber pe baza de apa 4 L</t>
        </is>
      </c>
      <c r="D30" s="94" t="inlineStr">
        <is>
          <t>-</t>
        </is>
      </c>
      <c r="E30" s="94" t="n"/>
      <c r="F30" s="60" t="n">
        <v>1</v>
      </c>
      <c r="G30" s="94" t="inlineStr">
        <is>
          <t>buc</t>
        </is>
      </c>
      <c r="H30" s="61" t="n">
        <v>0</v>
      </c>
      <c r="I30" s="62">
        <f>IF(AND(F30&lt;&gt;"",H30&lt;&gt;""),F30*H30,"")</f>
        <v/>
      </c>
      <c r="J30" s="74" t="inlineStr">
        <is>
          <t>Cumparat</t>
        </is>
      </c>
      <c r="K30" s="95" t="n"/>
      <c r="L30" s="95" t="inlineStr">
        <is>
          <t>Il avem deja; inlocuieste lazura Hornbach. Strat de baza structura.</t>
        </is>
      </c>
    </row>
    <row r="31" ht="15" customHeight="1" s="48">
      <c r="A31" s="65" t="inlineStr">
        <is>
          <t>Siguranta</t>
        </is>
      </c>
      <c r="B31" s="66" t="inlineStr">
        <is>
          <t>Material sol moale</t>
        </is>
      </c>
      <c r="C31" s="65" t="inlineStr">
        <is>
          <t>scoarta/nisip</t>
        </is>
      </c>
      <c r="D31" s="65" t="n"/>
      <c r="E31" s="65" t="n"/>
      <c r="F31" s="67" t="n">
        <v>1</v>
      </c>
      <c r="G31" s="65" t="inlineStr">
        <is>
          <t>lot</t>
        </is>
      </c>
      <c r="H31" s="68" t="n"/>
      <c r="I31" s="69">
        <f>IF(AND(F31&lt;&gt;"",H31&lt;&gt;""),F31*H31,"")</f>
        <v/>
      </c>
      <c r="J31" s="73" t="inlineStr">
        <is>
          <t>De cumparat</t>
        </is>
      </c>
      <c r="K31" s="66" t="n"/>
      <c r="L31" s="66" t="inlineStr">
        <is>
          <t>Sub platforma — amortizare cadere</t>
        </is>
      </c>
    </row>
    <row r="32" ht="15" customHeight="1" s="48">
      <c r="A32" s="94" t="inlineStr">
        <is>
          <t>Joaca</t>
        </is>
      </c>
      <c r="B32" s="95" t="inlineStr">
        <is>
          <t>Tobogan</t>
        </is>
      </c>
      <c r="C32" s="94" t="inlineStr">
        <is>
          <t>-</t>
        </is>
      </c>
      <c r="D32" s="94" t="n"/>
      <c r="E32" s="94" t="n"/>
      <c r="F32" s="60" t="n">
        <v>1</v>
      </c>
      <c r="G32" s="94" t="inlineStr">
        <is>
          <t>buc</t>
        </is>
      </c>
      <c r="H32" s="61" t="n"/>
      <c r="I32" s="62">
        <f>IF(AND(F32&lt;&gt;"",H32&lt;&gt;""),F32*H32,"")</f>
        <v/>
      </c>
      <c r="J32" s="72" t="inlineStr">
        <is>
          <t>De decis</t>
        </is>
      </c>
      <c r="K32" s="95" t="n"/>
      <c r="L32" s="95" t="inlineStr">
        <is>
          <t>Extra, optional</t>
        </is>
      </c>
    </row>
    <row r="33">
      <c r="A33" s="65" t="inlineStr">
        <is>
          <t>Joaca</t>
        </is>
      </c>
      <c r="B33" s="66" t="inlineStr">
        <is>
          <t>Franghie catarare / scripete cu galeata</t>
        </is>
      </c>
      <c r="C33" s="65" t="inlineStr">
        <is>
          <t>-</t>
        </is>
      </c>
      <c r="D33" s="65" t="n"/>
      <c r="E33" s="65" t="n"/>
      <c r="F33" s="67" t="n">
        <v>1</v>
      </c>
      <c r="G33" s="65" t="inlineStr">
        <is>
          <t>set</t>
        </is>
      </c>
      <c r="H33" s="68" t="n"/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Extra, optional</t>
        </is>
      </c>
    </row>
    <row r="34" ht="15" customHeight="1" s="48">
      <c r="A34" s="65" t="inlineStr">
        <is>
          <t>Finisaj</t>
        </is>
      </c>
      <c r="B34" s="66" t="inlineStr">
        <is>
          <t>Topcoat colorat exterior</t>
        </is>
      </c>
      <c r="C34" s="65" t="inlineStr">
        <is>
          <t>alegerea ta de culoare</t>
        </is>
      </c>
      <c r="D34" s="65" t="n"/>
      <c r="E34" s="65" t="n"/>
      <c r="F34" s="67" t="n">
        <v>1</v>
      </c>
      <c r="G34" s="65" t="inlineStr">
        <is>
          <t>buc</t>
        </is>
      </c>
      <c r="H34" s="68" t="n">
        <v>170</v>
      </c>
      <c r="I34" s="69">
        <f>IF(AND(F34&lt;&gt;"",H34&lt;&gt;""),F34*H34,"")</f>
        <v/>
      </c>
      <c r="J34" s="75" t="inlineStr">
        <is>
          <t>De decis</t>
        </is>
      </c>
      <c r="K34" s="66" t="n"/>
      <c r="L34" s="66" t="inlineStr">
        <is>
          <t>Culoarea finala; il alegi tu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</t>
        </is>
      </c>
      <c r="C35" s="47" t="inlineStr">
        <is>
          <t>45x70, ~9 m total</t>
        </is>
      </c>
      <c r="D35" s="47" t="inlineStr">
        <is>
          <t>Hornbach</t>
        </is>
      </c>
      <c r="F35" s="47" t="n">
        <v>2</v>
      </c>
      <c r="G35" s="47" t="inlineStr">
        <is>
          <t>buc</t>
        </is>
      </c>
      <c r="I35" s="47">
        <f>IF(AND(F35&lt;&gt;"",H35&lt;&gt;""),F35*H35,"")</f>
        <v/>
      </c>
      <c r="J35" s="47" t="inlineStr">
        <is>
          <t>De cumparat</t>
        </is>
      </c>
      <c r="L35" s="47" t="inlineStr">
        <is>
          <t>Sus+jos pe 3 laturi; lipsea din tracker</t>
        </is>
      </c>
    </row>
    <row r="36">
      <c r="A36" s="47" t="inlineStr">
        <is>
          <t>Balustrada</t>
        </is>
      </c>
      <c r="B36" s="47" t="inlineStr">
        <is>
          <t>Feronerie poarta</t>
        </is>
      </c>
      <c r="C36" s="47" t="inlineStr">
        <is>
          <t>2x balama cu arc (self-close) + zavor copil sus</t>
        </is>
      </c>
      <c r="F36" s="47" t="n">
        <v>1</v>
      </c>
      <c r="G36" s="47" t="inlineStr">
        <is>
          <t>set</t>
        </is>
      </c>
      <c r="I36" s="47">
        <f>IF(AND(F36&lt;&gt;"",H36&lt;&gt;""),F36*H36,"")</f>
        <v/>
      </c>
      <c r="J36" s="47" t="inlineStr">
        <is>
          <t>De cumparat</t>
        </is>
      </c>
      <c r="L36" s="47" t="inlineStr">
        <is>
          <t>Poarta auto-inchidere la capul scarii (SIG-03)</t>
        </is>
      </c>
    </row>
    <row r="37">
      <c r="A37" s="76" t="inlineStr">
        <is>
          <t>Legenda status:</t>
        </is>
      </c>
      <c r="B37" s="77" t="inlineStr">
        <is>
          <t>Cumparat</t>
        </is>
      </c>
      <c r="C37" s="78" t="inlineStr">
        <is>
          <t>De cumparat</t>
        </is>
      </c>
      <c r="D37" s="79" t="inlineStr">
        <is>
          <t>De decis</t>
        </is>
      </c>
    </row>
    <row r="38">
      <c r="A38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polite, talpice,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21.75" customHeight="1" s="48">
      <c r="A11" s="72" t="inlineStr">
        <is>
          <t>P4c</t>
        </is>
      </c>
      <c r="B11" s="95" t="inlineStr">
        <is>
          <t>Talpic sub polita (bloc compresiune)</t>
        </is>
      </c>
      <c r="C11" s="95" t="inlineStr">
        <is>
          <t>din offcut 100×100</t>
        </is>
      </c>
      <c r="D11" s="97" t="inlineStr">
        <is>
          <t>~180</t>
        </is>
      </c>
      <c r="E11" s="97" t="inlineStr">
        <is>
          <t>2</t>
        </is>
      </c>
      <c r="F11" s="96" t="inlineStr">
        <is>
          <t>DIN OFFCUT</t>
        </is>
      </c>
      <c r="G11" s="94" t="inlineStr">
        <is>
          <t>-</t>
        </is>
      </c>
      <c r="H11" s="95" t="inlineStr">
        <is>
          <t>Cate unul sub fiecare polita, pe fata stalpului din spate. Polita reazema pe el (compresiune); buloanele M12 = doar pozitie + anti-smulgere. Confirma masura pe teren.</t>
        </is>
      </c>
    </row>
    <row r="12" ht="21.75" customHeight="1" s="48">
      <c r="A12" s="72" t="inlineStr">
        <is>
          <t>P5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8" customHeight="1" s="48">
      <c r="A13" s="82" t="inlineStr">
        <is>
          <t>PODEA</t>
        </is>
      </c>
      <c r="B13" s="86" t="n"/>
      <c r="C13" s="86" t="n"/>
      <c r="D13" s="86" t="n"/>
      <c r="E13" s="86" t="n"/>
      <c r="F13" s="86" t="n"/>
      <c r="G13" s="86" t="n"/>
      <c r="H13" s="87" t="n"/>
    </row>
    <row r="14" ht="15" customHeight="1" s="48">
      <c r="A14" s="72" t="inlineStr">
        <is>
          <t>P6</t>
        </is>
      </c>
      <c r="B14" s="83" t="n"/>
      <c r="C14" s="83" t="n"/>
      <c r="D14" s="83" t="n"/>
      <c r="E14" s="83" t="n"/>
      <c r="F14" s="83" t="n"/>
      <c r="G14" s="83" t="n"/>
      <c r="H14" s="84" t="n"/>
    </row>
    <row r="15" ht="15" customHeight="1" s="48">
      <c r="A15" s="82" t="inlineStr">
        <is>
          <t>PERETI CASUTA (bracaj)</t>
        </is>
      </c>
      <c r="B15" s="86" t="n"/>
      <c r="C15" s="86" t="n"/>
      <c r="D15" s="86" t="n"/>
      <c r="E15" s="86" t="n"/>
      <c r="F15" s="86" t="n"/>
      <c r="G15" s="86" t="n"/>
      <c r="H15" s="87" t="n"/>
    </row>
    <row r="16" ht="21.75" customHeight="1" s="48">
      <c r="A16" s="72" t="inlineStr">
        <is>
          <t>P7</t>
        </is>
      </c>
      <c r="B16" s="95" t="inlineStr">
        <is>
          <t>Talpi + coronament pereti</t>
        </is>
      </c>
      <c r="C16" s="95" t="inlineStr">
        <is>
          <t>50×80</t>
        </is>
      </c>
      <c r="D16" s="97" t="inlineStr">
        <is>
          <t>var</t>
        </is>
      </c>
      <c r="E16" s="97" t="inlineStr">
        <is>
          <t>~6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Plate sus/jos pe cele 4 laturi (gol usa spre balcon).</t>
        </is>
      </c>
    </row>
    <row r="17" ht="18" customHeight="1" s="48">
      <c r="A17" s="72" t="inlineStr">
        <is>
          <t>P8</t>
        </is>
      </c>
      <c r="B17" s="95" t="inlineStr">
        <is>
          <t>Montanti pereti</t>
        </is>
      </c>
      <c r="C17" s="95" t="inlineStr">
        <is>
          <t>50×80</t>
        </is>
      </c>
      <c r="D17" s="97" t="inlineStr">
        <is>
          <t>~1400</t>
        </is>
      </c>
      <c r="E17" s="97" t="inlineStr">
        <is>
          <t>~14</t>
        </is>
      </c>
      <c r="F17" s="74" t="inlineStr">
        <is>
          <t>NOU</t>
        </is>
      </c>
      <c r="G17" s="94" t="inlineStr">
        <is>
          <t>oricare</t>
        </is>
      </c>
      <c r="H17" s="95" t="inlineStr">
        <is>
          <t>Interax 600 mm. Mai inalti in spate (latura coamei).</t>
        </is>
      </c>
    </row>
    <row r="18" ht="15" customHeight="1" s="48">
      <c r="A18" s="72" t="inlineStr">
        <is>
          <t>P9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82" t="inlineStr">
        <is>
          <t>ACOPERIS (1 apa, doar casuta)</t>
        </is>
      </c>
      <c r="B19" s="86" t="n"/>
      <c r="C19" s="86" t="n"/>
      <c r="D19" s="86" t="n"/>
      <c r="E19" s="86" t="n"/>
      <c r="F19" s="86" t="n"/>
      <c r="G19" s="86" t="n"/>
      <c r="H19" s="87" t="n"/>
    </row>
    <row r="20" ht="21.75" customHeight="1" s="48">
      <c r="A20" s="72" t="inlineStr">
        <is>
          <t>P10</t>
        </is>
      </c>
      <c r="B20" s="95" t="inlineStr">
        <is>
          <t>Capriori</t>
        </is>
      </c>
      <c r="C20" s="95" t="inlineStr">
        <is>
          <t>60×100</t>
        </is>
      </c>
      <c r="D20" s="97" t="inlineStr">
        <is>
          <t>~1400</t>
        </is>
      </c>
      <c r="E20" s="97" t="inlineStr">
        <is>
          <t>4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Panta spre gradina, mic streasin in spate.</t>
        </is>
      </c>
    </row>
    <row r="21" ht="18" customHeight="1" s="48">
      <c r="A21" s="72" t="inlineStr">
        <is>
          <t>P11</t>
        </is>
      </c>
      <c r="B21" s="95" t="inlineStr">
        <is>
          <t>Astereala acoperis</t>
        </is>
      </c>
      <c r="C21" s="95" t="inlineStr">
        <is>
          <t>OSB3 / scandura</t>
        </is>
      </c>
      <c r="D21" s="97" t="inlineStr">
        <is>
          <t>2500×1250</t>
        </is>
      </c>
      <c r="E21" s="97" t="inlineStr">
        <is>
          <t>1 placa</t>
        </is>
      </c>
      <c r="F21" s="74" t="inlineStr">
        <is>
          <t>NOU</t>
        </is>
      </c>
      <c r="G21" s="94" t="inlineStr">
        <is>
          <t>oricare</t>
        </is>
      </c>
      <c r="H21" s="95" t="inlineStr">
        <is>
          <t>Suport invelitoare.</t>
        </is>
      </c>
    </row>
    <row r="22" ht="15" customHeight="1" s="48">
      <c r="A22" s="72" t="inlineStr">
        <is>
          <t>P12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82" t="inlineStr">
        <is>
          <t>BALUSTRADA BALCON (3 laturi)</t>
        </is>
      </c>
      <c r="B23" s="86" t="n"/>
      <c r="C23" s="86" t="n"/>
      <c r="D23" s="86" t="n"/>
      <c r="E23" s="86" t="n"/>
      <c r="F23" s="86" t="n"/>
      <c r="G23" s="86" t="n"/>
      <c r="H23" s="87" t="n"/>
    </row>
    <row r="24" ht="15" customHeight="1" s="48">
      <c r="A24" s="72" t="inlineStr">
        <is>
          <t>P13</t>
        </is>
      </c>
      <c r="B24" s="95" t="inlineStr">
        <is>
          <t>Stalpisori balustrada</t>
        </is>
      </c>
      <c r="C24" s="95" t="inlineStr">
        <is>
          <t>58×58</t>
        </is>
      </c>
      <c r="D24" s="97" t="inlineStr">
        <is>
          <t>1000</t>
        </is>
      </c>
      <c r="E24" s="97" t="inlineStr">
        <is>
          <t>7</t>
        </is>
      </c>
      <c r="F24" s="74" t="inlineStr">
        <is>
          <t>NOU</t>
        </is>
      </c>
      <c r="G24" s="94" t="inlineStr">
        <is>
          <t>Hornbach</t>
        </is>
      </c>
      <c r="H24" s="95" t="inlineStr">
        <is>
          <t>Interax ~900 mm, inclusiv pe nasul consolei.</t>
        </is>
      </c>
    </row>
    <row r="25" ht="18" customHeight="1" s="48">
      <c r="A25" s="72" t="inlineStr">
        <is>
          <t>P14</t>
        </is>
      </c>
      <c r="B25" s="95" t="inlineStr">
        <is>
          <t>Mana curenta + rigla jos</t>
        </is>
      </c>
      <c r="C25" s="95" t="inlineStr">
        <is>
          <t>45×70</t>
        </is>
      </c>
      <c r="D25" s="97" t="inlineStr">
        <is>
          <t>~9 m total</t>
        </is>
      </c>
      <c r="E25" s="97" t="inlineStr">
        <is>
          <t>2</t>
        </is>
      </c>
      <c r="F25" s="74" t="inlineStr">
        <is>
          <t>NOU</t>
        </is>
      </c>
      <c r="G25" s="94" t="inlineStr">
        <is>
          <t>oricare</t>
        </is>
      </c>
      <c r="H25" s="95" t="inlineStr">
        <is>
          <t>Sus si jos, jur-imprejur.</t>
        </is>
      </c>
    </row>
    <row r="26" ht="15" customHeight="1" s="48">
      <c r="A26" s="72" t="inlineStr">
        <is>
          <t>P15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82" t="inlineStr">
        <is>
          <t>SCARA</t>
        </is>
      </c>
      <c r="B27" s="86" t="n"/>
      <c r="C27" s="86" t="n"/>
      <c r="D27" s="86" t="n"/>
      <c r="E27" s="86" t="n"/>
      <c r="F27" s="86" t="n"/>
      <c r="G27" s="86" t="n"/>
      <c r="H27" s="87" t="n"/>
    </row>
    <row r="28" ht="15" customHeight="1" s="48">
      <c r="A28" s="72" t="inlineStr">
        <is>
          <t>P16</t>
        </is>
      </c>
      <c r="B28" s="95" t="inlineStr">
        <is>
          <t>Coarde scara</t>
        </is>
      </c>
      <c r="C28" s="95" t="inlineStr">
        <is>
          <t>60x140</t>
        </is>
      </c>
      <c r="D28" s="97" t="inlineStr">
        <is>
          <t>~3000</t>
        </is>
      </c>
      <c r="E28" s="97" t="inlineStr">
        <is>
          <t>2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Panta de la sol/balcon la podea.</t>
        </is>
      </c>
    </row>
    <row r="29" ht="18" customHeight="1" s="48">
      <c r="A29" s="72" t="inlineStr">
        <is>
          <t>P17</t>
        </is>
      </c>
      <c r="B29" s="95" t="inlineStr">
        <is>
          <t>Trepte</t>
        </is>
      </c>
      <c r="C29" s="95" t="inlineStr">
        <is>
          <t>45x190</t>
        </is>
      </c>
      <c r="D29" s="97" t="inlineStr">
        <is>
          <t>600</t>
        </is>
      </c>
      <c r="E29" s="97" t="inlineStr">
        <is>
          <t>10</t>
        </is>
      </c>
      <c r="F29" s="74" t="inlineStr">
        <is>
          <t>NOU</t>
        </is>
      </c>
      <c r="G29" s="94" t="inlineStr">
        <is>
          <t>oricare</t>
        </is>
      </c>
      <c r="H29" s="95" t="inlineStr">
        <is>
          <t>Trepte solide.</t>
        </is>
      </c>
    </row>
    <row r="30" ht="21.75" customHeight="1" s="48">
      <c r="A30" s="72" t="inlineStr">
        <is>
          <t>P18</t>
        </is>
      </c>
      <c r="B30" s="83" t="n"/>
      <c r="C30" s="83" t="n"/>
      <c r="D30" s="83" t="n"/>
      <c r="E30" s="83" t="n"/>
      <c r="F30" s="83" t="n"/>
      <c r="G30" s="83" t="n"/>
      <c r="H30" s="84" t="n"/>
    </row>
    <row r="31" ht="15" customHeight="1" s="48">
      <c r="A31" s="82" t="inlineStr">
        <is>
          <t>MASA-COPAC</t>
        </is>
      </c>
      <c r="B31" s="86" t="n"/>
      <c r="C31" s="86" t="n"/>
      <c r="D31" s="86" t="n"/>
      <c r="E31" s="86" t="n"/>
      <c r="F31" s="86" t="n"/>
      <c r="G31" s="86" t="n"/>
      <c r="H31" s="87" t="n"/>
    </row>
    <row r="32" ht="18" customHeight="1" s="48">
      <c r="A32" s="72" t="inlineStr">
        <is>
          <t>P19</t>
        </is>
      </c>
      <c r="B32" s="95" t="inlineStr">
        <is>
          <t>Blat masa</t>
        </is>
      </c>
      <c r="C32" s="95" t="inlineStr">
        <is>
          <t>panou / scandura lipita ~Ø500</t>
        </is>
      </c>
      <c r="D32" s="97" t="inlineStr">
        <is>
          <t>-</t>
        </is>
      </c>
      <c r="E32" s="97" t="inlineStr">
        <is>
          <t>1</t>
        </is>
      </c>
      <c r="F32" s="74" t="inlineStr">
        <is>
          <t>NOU/offcut</t>
        </is>
      </c>
      <c r="G32" s="94" t="inlineStr">
        <is>
          <t>oricare</t>
        </is>
      </c>
      <c r="H32" s="95" t="inlineStr">
        <is>
          <t>Fixat de PODEA prin cadru propriu, NU de copac. Capat trunchi tesit+capac.</t>
        </is>
      </c>
    </row>
    <row r="33" ht="15" customHeight="1" s="48">
      <c r="A33" s="72" t="inlineStr">
        <is>
          <t>P20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82" t="inlineStr">
        <is>
          <t>FERONERIE</t>
        </is>
      </c>
      <c r="B34" s="86" t="n"/>
      <c r="C34" s="86" t="n"/>
      <c r="D34" s="86" t="n"/>
      <c r="E34" s="86" t="n"/>
      <c r="F34" s="86" t="n"/>
      <c r="G34" s="86" t="n"/>
      <c r="H34" s="87" t="n"/>
    </row>
    <row r="35" ht="15" customHeight="1" s="48">
      <c r="A35" s="72" t="inlineStr">
        <is>
          <t>P21</t>
        </is>
      </c>
      <c r="B35" s="95" t="inlineStr">
        <is>
          <t>Buloane M12 + piulite + saibe</t>
        </is>
      </c>
      <c r="C35" s="95" t="inlineStr">
        <is>
          <t>M12: 8x120 baza + tija M12 polita</t>
        </is>
      </c>
      <c r="D35" s="97" t="inlineStr">
        <is>
          <t>-</t>
        </is>
      </c>
      <c r="E35" s="97" t="inlineStr">
        <is>
          <t>12</t>
        </is>
      </c>
      <c r="F35" s="74" t="inlineStr">
        <is>
          <t>NOU</t>
        </is>
      </c>
      <c r="G35" s="94" t="inlineStr">
        <is>
          <t>oricare</t>
        </is>
      </c>
      <c r="H35" s="95" t="inlineStr">
        <is>
          <t>Baza papuc: 8x M12x120. Polita: tija filetata M12 1m taiata in 4x ~220 mm (cod 12130958) + piulite + saibe.</t>
        </is>
      </c>
    </row>
    <row r="36" ht="15" customHeight="1" s="48">
      <c r="A36" s="72" t="inlineStr">
        <is>
          <t>P22</t>
        </is>
      </c>
      <c r="B36" s="95" t="inlineStr">
        <is>
          <t>Coltare metalice C1 + C2</t>
        </is>
      </c>
      <c r="C36" s="95" t="inlineStr">
        <is>
          <t>C1 100x100x90 (4) + C2 90x90x65 (14)</t>
        </is>
      </c>
      <c r="D36" s="97" t="inlineStr">
        <is>
          <t>-</t>
        </is>
      </c>
      <c r="E36" s="97" t="inlineStr">
        <is>
          <t>18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C1 grinda fata-&gt;stalp (4); C2 joiste anti-ridicare (14).</t>
        </is>
      </c>
    </row>
    <row r="37" ht="18" customHeight="1" s="48">
      <c r="A37" s="72" t="inlineStr">
        <is>
          <t>P23</t>
        </is>
      </c>
      <c r="B37" s="95" t="inlineStr">
        <is>
          <t>Suruburi structurale Heco</t>
        </is>
      </c>
      <c r="C37" s="95" t="inlineStr">
        <is>
          <t>Heco 8x200, pac 100</t>
        </is>
      </c>
      <c r="D37" s="97" t="inlineStr">
        <is>
          <t>-</t>
        </is>
      </c>
      <c r="E37" s="97" t="inlineStr">
        <is>
          <t>1 pac</t>
        </is>
      </c>
      <c r="F37" s="74" t="inlineStr">
        <is>
          <t>NOU</t>
        </is>
      </c>
      <c r="G37" s="94" t="inlineStr">
        <is>
          <t>Hornbach</t>
        </is>
      </c>
      <c r="H37" s="95" t="inlineStr">
        <is>
          <t>Imbinari lemn-lemn (cod 10434633). Fara pre-gaurire.</t>
        </is>
      </c>
    </row>
    <row r="38" ht="15" customHeight="1" s="48">
      <c r="A38" s="72" t="inlineStr">
        <is>
          <t>P24</t>
        </is>
      </c>
      <c r="B38" s="83" t="n"/>
      <c r="C38" s="83" t="n"/>
      <c r="D38" s="83" t="n"/>
      <c r="E38" s="83" t="n"/>
      <c r="F38" s="83" t="n"/>
      <c r="G38" s="83" t="n"/>
      <c r="H38" s="84" t="n"/>
    </row>
    <row r="39" ht="15" customHeight="1" s="48">
      <c r="A39" s="82" t="inlineStr">
        <is>
          <t>FINISAJ + SOL</t>
        </is>
      </c>
      <c r="B39" s="86" t="n"/>
      <c r="C39" s="86" t="n"/>
      <c r="D39" s="86" t="n"/>
      <c r="E39" s="86" t="n"/>
      <c r="F39" s="86" t="n"/>
      <c r="G39" s="86" t="n"/>
      <c r="H39" s="87" t="n"/>
    </row>
    <row r="40" ht="15" customHeight="1" s="48">
      <c r="A40" s="72" t="inlineStr">
        <is>
          <t>P25</t>
        </is>
      </c>
      <c r="B40" s="95" t="inlineStr">
        <is>
          <t>Grund izolare lemn</t>
        </is>
      </c>
      <c r="C40" s="95" t="inlineStr">
        <is>
          <t>2,5 l</t>
        </is>
      </c>
      <c r="D40" s="97" t="inlineStr">
        <is>
          <t>-</t>
        </is>
      </c>
      <c r="E40" s="97" t="inlineStr">
        <is>
          <t>1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Strat de baza.</t>
        </is>
      </c>
    </row>
    <row r="41" ht="15" customHeight="1" s="48">
      <c r="A41" s="72" t="inlineStr">
        <is>
          <t>P26</t>
        </is>
      </c>
      <c r="B41" s="95" t="inlineStr">
        <is>
          <t>Vopsea protectie exterior</t>
        </is>
      </c>
      <c r="C41" s="95" t="inlineStr">
        <is>
          <t>6 l</t>
        </is>
      </c>
      <c r="D41" s="97" t="inlineStr">
        <is>
          <t>-</t>
        </is>
      </c>
      <c r="E41" s="97" t="inlineStr">
        <is>
          <t>2</t>
        </is>
      </c>
      <c r="F41" s="74" t="inlineStr">
        <is>
          <t>NOU</t>
        </is>
      </c>
      <c r="G41" s="94" t="inlineStr">
        <is>
          <t>Hornbach</t>
        </is>
      </c>
      <c r="H41" s="95" t="inlineStr">
        <is>
          <t>Wetterschutz sau similar.</t>
        </is>
      </c>
    </row>
    <row r="42" ht="15" customHeight="1" s="48">
      <c r="A42" s="72" t="inlineStr">
        <is>
          <t>P27</t>
        </is>
      </c>
      <c r="B42" s="95" t="inlineStr">
        <is>
          <t>Sol moale sub platforma</t>
        </is>
      </c>
      <c r="C42" s="95" t="inlineStr">
        <is>
          <t>scoarta / nisip</t>
        </is>
      </c>
      <c r="D42" s="97" t="inlineStr">
        <is>
          <t>~5 m²</t>
        </is>
      </c>
      <c r="E42" s="97" t="inlineStr">
        <is>
          <t>1 lot</t>
        </is>
      </c>
      <c r="F42" s="74" t="inlineStr">
        <is>
          <t>NOU</t>
        </is>
      </c>
      <c r="G42" s="94" t="inlineStr">
        <is>
          <t>oricare</t>
        </is>
      </c>
      <c r="H42" s="95" t="inlineStr">
        <is>
          <t>Amortizare cadere. NU beton/piatra dedesubt.</t>
        </is>
      </c>
    </row>
    <row r="43" ht="15" customHeight="1" s="48"/>
    <row r="44" ht="15" customHeight="1" s="48">
      <c r="A44" s="76" t="inlineStr">
        <is>
          <t>Note:</t>
        </is>
      </c>
    </row>
    <row r="45">
      <c r="A45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12:H12"/>
    <mergeCell ref="A18:H18"/>
    <mergeCell ref="A26:H26"/>
    <mergeCell ref="A30:H30"/>
    <mergeCell ref="A5:H5"/>
    <mergeCell ref="A38:H38"/>
    <mergeCell ref="A2:H2"/>
    <mergeCell ref="A33:H33"/>
    <mergeCell ref="A14:H14"/>
    <mergeCell ref="A44:H44"/>
    <mergeCell ref="A1:H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5" customHeight="1" s="48">
      <c r="A13" s="94" t="inlineStr">
        <is>
          <t>Grinzi</t>
        </is>
      </c>
      <c r="B13" s="95" t="inlineStr">
        <is>
          <t>Talpic sub polita (din offcut 100×100)</t>
        </is>
      </c>
      <c r="C13" s="94" t="inlineStr">
        <is>
          <t>-</t>
        </is>
      </c>
      <c r="D13" s="88" t="n">
        <v>0</v>
      </c>
      <c r="E13" s="60" t="n">
        <v>2</v>
      </c>
      <c r="F13" s="94" t="inlineStr">
        <is>
          <t>buc</t>
        </is>
      </c>
      <c r="G13" s="62">
        <f>IF(AND(D13&lt;&gt;"",E13&lt;&gt;""),D13*E13,"")</f>
        <v/>
      </c>
      <c r="H13" s="95" t="inlineStr">
        <is>
          <t>Bloc ~180 sub fiecare polita: duce greutatea in compresiune. M12 = pozitie + anti-smulgere.</t>
        </is>
      </c>
      <c r="I13" s="96" t="inlineStr">
        <is>
          <t>OFFCUT</t>
        </is>
      </c>
    </row>
    <row r="14" ht="15" customHeight="1" s="48">
      <c r="A14" s="82" t="inlineStr">
        <is>
          <t>PODEA</t>
        </is>
      </c>
      <c r="B14" s="83" t="n"/>
      <c r="C14" s="83" t="n"/>
      <c r="D14" s="83" t="n"/>
      <c r="E14" s="83" t="n"/>
      <c r="F14" s="83" t="n"/>
      <c r="G14" s="83" t="n"/>
      <c r="H14" s="83" t="n"/>
      <c r="I14" s="84" t="n"/>
    </row>
    <row r="15" ht="16.5" customHeight="1" s="48">
      <c r="A15" s="94" t="inlineStr">
        <is>
          <t>Dusumea</t>
        </is>
      </c>
      <c r="B15" s="95" t="inlineStr">
        <is>
          <t>Lemn terasa larice Konsta 28×145×3000</t>
        </is>
      </c>
      <c r="C15" s="94" t="inlineStr">
        <is>
          <t>Hornbach</t>
        </is>
      </c>
      <c r="D15" s="88" t="n">
        <v>79.90000000000001</v>
      </c>
      <c r="E15" s="60" t="n">
        <v>17</v>
      </c>
      <c r="F15" s="94" t="inlineStr">
        <is>
          <t>buc</t>
        </is>
      </c>
      <c r="G15" s="62">
        <f>IF(AND(D15&lt;&gt;"",E15&lt;&gt;""),D15*E15,"")</f>
        <v/>
      </c>
      <c r="H15" s="95" t="inlineStr">
        <is>
          <t>Dusumea premium 28mm</t>
        </is>
      </c>
      <c r="I15" s="74" t="inlineStr">
        <is>
          <t>De cumparat</t>
        </is>
      </c>
    </row>
    <row r="16" ht="15" customHeight="1" s="48">
      <c r="A16" s="82" t="inlineStr">
        <is>
          <t>IMBINARI</t>
        </is>
      </c>
      <c r="B16" s="83" t="n"/>
      <c r="C16" s="83" t="n"/>
      <c r="D16" s="83" t="n"/>
      <c r="E16" s="83" t="n"/>
      <c r="F16" s="83" t="n"/>
      <c r="G16" s="83" t="n"/>
      <c r="H16" s="83" t="n"/>
      <c r="I16" s="84" t="n"/>
    </row>
    <row r="17" ht="15" customHeight="1" s="48">
      <c r="A17" s="94" t="inlineStr">
        <is>
          <t>Conectori</t>
        </is>
      </c>
      <c r="B17" s="95" t="inlineStr">
        <is>
          <t>Coltar rigidizat Alberts 100×100×90×3</t>
        </is>
      </c>
      <c r="C17" s="94" t="inlineStr">
        <is>
          <t>Hornbach</t>
        </is>
      </c>
      <c r="D17" s="88" t="n">
        <v>9.35</v>
      </c>
      <c r="E17" s="60" t="n">
        <v>4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Grinda FATA → stalp (pe varf)</t>
        </is>
      </c>
      <c r="I17" s="74" t="inlineStr">
        <is>
          <t>De cumparat</t>
        </is>
      </c>
    </row>
    <row r="18" ht="15" customHeight="1" s="48">
      <c r="A18" s="94" t="inlineStr">
        <is>
          <t>Conectori</t>
        </is>
      </c>
      <c r="B18" s="95" t="inlineStr">
        <is>
          <t>Coltar rigidizat Alberts 90×90×65</t>
        </is>
      </c>
      <c r="C18" s="94" t="inlineStr">
        <is>
          <t>Hornbach</t>
        </is>
      </c>
      <c r="D18" s="88" t="n">
        <v>4.83</v>
      </c>
      <c r="E18" s="60" t="n">
        <v>14</v>
      </c>
      <c r="F18" s="94" t="inlineStr">
        <is>
          <t>buc</t>
        </is>
      </c>
      <c r="G18" s="62">
        <f>IF(AND(D18&lt;&gt;"",E18&lt;&gt;""),D18*E18,"")</f>
        <v/>
      </c>
      <c r="H18" s="95" t="inlineStr">
        <is>
          <t>Joiste → grinda + grinda spate, anti-ridicare (12+2=14)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8×200 Torx (100 buc)</t>
        </is>
      </c>
      <c r="C19" s="94" t="inlineStr">
        <is>
          <t>Hornbach</t>
        </is>
      </c>
      <c r="D19" s="88" t="n">
        <v>369.1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Imbinari structurale, fara pre-gaurire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6x100 zincat (100 buc)</t>
        </is>
      </c>
      <c r="C20" s="94" t="inlineStr">
        <is>
          <t>Hornbach</t>
        </is>
      </c>
      <c r="D20" s="88" t="n">
        <v>94.87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Coltare, conectori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Heco Topix-Plus 6×80 (100 buc)</t>
        </is>
      </c>
      <c r="C21" s="94" t="inlineStr">
        <is>
          <t>Hornbach</t>
        </is>
      </c>
      <c r="D21" s="88" t="n">
        <v>72.8</v>
      </c>
      <c r="E21" s="60" t="n">
        <v>1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Blocaje, prinderi generale</t>
        </is>
      </c>
      <c r="I21" s="74" t="inlineStr">
        <is>
          <t>De cumparat</t>
        </is>
      </c>
    </row>
    <row r="22" ht="16.5" customHeight="1" s="48">
      <c r="A22" s="94" t="inlineStr">
        <is>
          <t>Suruburi</t>
        </is>
      </c>
      <c r="B22" s="95" t="inlineStr">
        <is>
          <t>Suruburi inox A2 5x60 dusumea (100 buc)</t>
        </is>
      </c>
      <c r="C22" s="94" t="inlineStr">
        <is>
          <t>Hornbach</t>
        </is>
      </c>
      <c r="D22" s="88" t="n">
        <v>55.82</v>
      </c>
      <c r="E22" s="60" t="n">
        <v>3</v>
      </c>
      <c r="F22" s="94" t="inlineStr">
        <is>
          <t>pac</t>
        </is>
      </c>
      <c r="G22" s="62">
        <f>IF(AND(D22&lt;&gt;"",E22&lt;&gt;""),D22*E22,"")</f>
        <v/>
      </c>
      <c r="H22" s="95" t="inlineStr">
        <is>
          <t>Prindere dusumea larice</t>
        </is>
      </c>
      <c r="I22" s="72" t="inlineStr">
        <is>
          <t>De cumparat</t>
        </is>
      </c>
    </row>
    <row r="23" ht="15" customHeight="1" s="48">
      <c r="A23" s="82" t="inlineStr">
        <is>
          <t>SCARA</t>
        </is>
      </c>
      <c r="B23" s="83" t="n"/>
      <c r="C23" s="83" t="n"/>
      <c r="D23" s="83" t="n"/>
      <c r="E23" s="83" t="n"/>
      <c r="F23" s="83" t="n"/>
      <c r="G23" s="83" t="n"/>
      <c r="H23" s="83" t="n"/>
      <c r="I23" s="84" t="n"/>
    </row>
    <row r="24" ht="15" customHeight="1" s="48">
      <c r="A24" s="94" t="inlineStr">
        <is>
          <t>Scara</t>
        </is>
      </c>
      <c r="B24" s="95" t="inlineStr">
        <is>
          <t>Coarde scara KVH 60×140×3000</t>
        </is>
      </c>
      <c r="C24" s="94" t="inlineStr">
        <is>
          <t>Hornbach</t>
        </is>
      </c>
      <c r="D24" s="88" t="n">
        <v>130</v>
      </c>
      <c r="E24" s="60" t="n">
        <v>2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Cele 2 grinzi inclinate (~2,9 m)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Trepte larice/dulap 45×190 ~600 mm</t>
        </is>
      </c>
      <c r="C25" s="94" t="inlineStr">
        <is>
          <t>Hornbach</t>
        </is>
      </c>
      <c r="D25" s="88" t="n">
        <v>25</v>
      </c>
      <c r="E25" s="60" t="n">
        <v>10</v>
      </c>
      <c r="F25" s="94" t="inlineStr">
        <is>
          <t>buc</t>
        </is>
      </c>
      <c r="G25" s="62">
        <f>IF(AND(D25&lt;&gt;"",E25&lt;&gt;""),D25*E25,"")</f>
        <v/>
      </c>
      <c r="H25" s="95" t="inlineStr">
        <is>
          <t>10 trepte (11 niveluri) (riser 200, calcai 190)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Mana curenta + stalpisori (lemn)</t>
        </is>
      </c>
      <c r="C26" s="94" t="inlineStr">
        <is>
          <t>Hornbach</t>
        </is>
      </c>
      <c r="D26" s="88" t="n">
        <v>120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Pe ambele parti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Feronerie scara (coltare + Heco + 2× M10)</t>
        </is>
      </c>
      <c r="C27" s="94" t="inlineStr">
        <is>
          <t>Hornbach</t>
        </is>
      </c>
      <c r="D27" s="88" t="n">
        <v>80</v>
      </c>
      <c r="E27" s="60" t="n">
        <v>1</v>
      </c>
      <c r="F27" s="94" t="inlineStr">
        <is>
          <t>set</t>
        </is>
      </c>
      <c r="G27" s="62">
        <f>IF(AND(D27&lt;&gt;"",E27&lt;&gt;""),D27*E27,"")</f>
        <v/>
      </c>
      <c r="H27" s="95" t="inlineStr">
        <is>
          <t>Prindere de platforma + trepte</t>
        </is>
      </c>
      <c r="I27" s="72" t="inlineStr">
        <is>
          <t>De cumparat (est.)</t>
        </is>
      </c>
    </row>
    <row r="28" ht="16.5" customHeight="1" s="48">
      <c r="A28" s="94" t="inlineStr">
        <is>
          <t>Scara</t>
        </is>
      </c>
      <c r="B28" s="95" t="inlineStr">
        <is>
          <t>Dala/paver baza scara</t>
        </is>
      </c>
      <c r="C28" s="94" t="inlineStr">
        <is>
          <t>Hornbach</t>
        </is>
      </c>
      <c r="D28" s="88" t="n">
        <v>20</v>
      </c>
      <c r="E28" s="60" t="n">
        <v>1</v>
      </c>
      <c r="F28" s="94" t="inlineStr">
        <is>
          <t>buc</t>
        </is>
      </c>
      <c r="G28" s="62">
        <f>IF(AND(D28&lt;&gt;"",E28&lt;&gt;""),D28*E28,"")</f>
        <v/>
      </c>
      <c r="H28" s="95" t="inlineStr">
        <is>
          <t>Sub coarde, sa nu stea in pamant</t>
        </is>
      </c>
      <c r="I28" s="72" t="inlineStr">
        <is>
          <t>De cumparat (est.)</t>
        </is>
      </c>
    </row>
    <row r="29" ht="15" customHeight="1" s="48">
      <c r="A29" s="82" t="inlineStr">
        <is>
          <t>FINISAJ</t>
        </is>
      </c>
      <c r="B29" s="83" t="n"/>
      <c r="C29" s="83" t="n"/>
      <c r="D29" s="83" t="n"/>
      <c r="E29" s="83" t="n"/>
      <c r="F29" s="83" t="n"/>
      <c r="G29" s="83" t="n"/>
      <c r="H29" s="83" t="n"/>
      <c r="I29" s="84" t="n"/>
    </row>
    <row r="30" ht="15" customHeight="1" s="48">
      <c r="A30" s="94" t="inlineStr">
        <is>
          <t>Finisaj</t>
        </is>
      </c>
      <c r="B30" s="95" t="inlineStr">
        <is>
          <t>Ulei lemn tec Hornbach Plus 2,5 l</t>
        </is>
      </c>
      <c r="C30" s="94" t="inlineStr">
        <is>
          <t>Hornbach</t>
        </is>
      </c>
      <c r="D30" s="88" t="n">
        <v>144.39</v>
      </c>
      <c r="E30" s="60" t="n">
        <v>2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Dusumea larice + grinzi/scara expuse</t>
        </is>
      </c>
      <c r="I30" s="74" t="inlineStr">
        <is>
          <t>De cumparat</t>
        </is>
      </c>
    </row>
    <row r="31">
      <c r="A31" s="94" t="inlineStr">
        <is>
          <t>Finisaj</t>
        </is>
      </c>
      <c r="B31" s="95" t="inlineStr">
        <is>
          <t>Grund impregnare Köber 4 L (AVEM)</t>
        </is>
      </c>
      <c r="C31" s="94" t="inlineStr">
        <is>
          <t>Hornbach</t>
        </is>
      </c>
      <c r="D31" s="88" t="n">
        <v>0</v>
      </c>
      <c r="E31" s="60" t="n">
        <v>1</v>
      </c>
      <c r="F31" s="94" t="inlineStr">
        <is>
          <t>buc</t>
        </is>
      </c>
      <c r="G31" s="62">
        <f>IF(AND(D31&lt;&gt;"",E31&lt;&gt;""),D31*E31,"")</f>
        <v/>
      </c>
      <c r="H31" s="95" t="inlineStr">
        <is>
          <t>Stalpi + joiste + capete</t>
        </is>
      </c>
      <c r="I31" s="72" t="inlineStr">
        <is>
          <t>AVEM</t>
        </is>
      </c>
    </row>
    <row r="32" ht="15" customHeight="1" s="48">
      <c r="A32" s="47" t="inlineStr">
        <is>
          <t>BALUSTRADA</t>
        </is>
      </c>
    </row>
    <row r="33" ht="15" customHeight="1" s="48">
      <c r="A33" s="47" t="inlineStr">
        <is>
          <t>Balustrada</t>
        </is>
      </c>
      <c r="B33" s="47" t="inlineStr">
        <is>
          <t>Stalpisori 58x58, h=100 cm</t>
        </is>
      </c>
      <c r="C33" s="47" t="inlineStr">
        <is>
          <t>Hornbach</t>
        </is>
      </c>
      <c r="D33" s="47" t="n">
        <v>60.91</v>
      </c>
      <c r="E33" s="47" t="n">
        <v>7</v>
      </c>
      <c r="F33" s="47" t="inlineStr">
        <is>
          <t>buc</t>
        </is>
      </c>
      <c r="G33" s="47">
        <f>IF(AND(D33&lt;&gt;"",E33&lt;&gt;""),D33*E33,"")</f>
        <v/>
      </c>
      <c r="H33" s="47" t="inlineStr">
        <is>
          <t>Stalpisori balustrada, jur-imprejur</t>
        </is>
      </c>
      <c r="I33" s="47" t="inlineStr">
        <is>
          <t>De cumparat (est.)</t>
        </is>
      </c>
    </row>
    <row r="34">
      <c r="A34" s="47" t="inlineStr">
        <is>
          <t>Balustrada</t>
        </is>
      </c>
      <c r="B34" s="47" t="inlineStr">
        <is>
          <t>Sipci 18x18 umplutura goluri</t>
        </is>
      </c>
      <c r="C34" s="47" t="inlineStr">
        <is>
          <t>Hornbach</t>
        </is>
      </c>
      <c r="D34" s="47" t="n">
        <v>3.3</v>
      </c>
      <c r="E34" s="47" t="n">
        <v>24</v>
      </c>
      <c r="F34" s="47" t="inlineStr">
        <is>
          <t>buc</t>
        </is>
      </c>
      <c r="G34" s="47">
        <f>IF(AND(D34&lt;&gt;"",E34&lt;&gt;""),D34*E34,"")</f>
        <v/>
      </c>
      <c r="H34" s="47" t="inlineStr">
        <is>
          <t>Goluri sub 9 cm</t>
        </is>
      </c>
      <c r="I34" s="47" t="inlineStr">
        <is>
          <t>De cumparat (est.)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 45x70</t>
        </is>
      </c>
      <c r="C35" s="47" t="inlineStr">
        <is>
          <t>Hornbach</t>
        </is>
      </c>
      <c r="D35" s="47" t="inlineStr">
        <is>
          <t>est.</t>
        </is>
      </c>
      <c r="E35" s="47" t="n">
        <v>2</v>
      </c>
      <c r="F35" s="47" t="inlineStr">
        <is>
          <t>buc</t>
        </is>
      </c>
      <c r="H35" s="47" t="inlineStr">
        <is>
          <t>Sus+jos, ~9 m total (3 laturi)</t>
        </is>
      </c>
      <c r="I35" s="47" t="inlineStr">
        <is>
          <t>De cumparat (est.)</t>
        </is>
      </c>
    </row>
    <row r="36">
      <c r="A36" s="47" t="inlineStr">
        <is>
          <t>Balustrada</t>
        </is>
      </c>
      <c r="B36" s="47" t="inlineStr">
        <is>
          <t>Buloane M10x120 + piulita + saiba</t>
        </is>
      </c>
      <c r="C36" s="47" t="inlineStr">
        <is>
          <t>Hornbach</t>
        </is>
      </c>
      <c r="D36" s="47" t="n">
        <v>3.5</v>
      </c>
      <c r="E36" s="47" t="n">
        <v>14</v>
      </c>
      <c r="F36" s="47" t="inlineStr">
        <is>
          <t>buc</t>
        </is>
      </c>
      <c r="G36" s="47">
        <f>IF(AND(D36&lt;&gt;"",E36&lt;&gt;""),D36*E36,"")</f>
        <v/>
      </c>
      <c r="H36" s="47" t="inlineStr">
        <is>
          <t>Prindere stalpisori de cadru</t>
        </is>
      </c>
      <c r="I36" s="47" t="inlineStr">
        <is>
          <t>De cumparat (est.)</t>
        </is>
      </c>
    </row>
    <row r="37">
      <c r="A37" s="47" t="inlineStr">
        <is>
          <t>Balustrada</t>
        </is>
      </c>
      <c r="B37" s="47" t="inlineStr">
        <is>
          <t>Feronerie poarta (self-close)</t>
        </is>
      </c>
      <c r="C37" s="47" t="inlineStr">
        <is>
          <t>Hornbach</t>
        </is>
      </c>
      <c r="D37" s="47" t="inlineStr">
        <is>
          <t>est.</t>
        </is>
      </c>
      <c r="E37" s="47" t="n">
        <v>1</v>
      </c>
      <c r="F37" s="47" t="inlineStr">
        <is>
          <t>set</t>
        </is>
      </c>
      <c r="H37" s="47" t="inlineStr">
        <is>
          <t>2x balama arc + zavor copil sus; de confirmat</t>
        </is>
      </c>
      <c r="I37" s="47" t="inlineStr">
        <is>
          <t>De cumparat (est.)</t>
        </is>
      </c>
    </row>
    <row r="39">
      <c r="F39" s="89" t="inlineStr">
        <is>
          <t>TOTAL platforma:</t>
        </is>
      </c>
      <c r="G39" s="90">
        <f>SUM(G5:G37)</f>
        <v/>
      </c>
    </row>
    <row r="40">
      <c r="F40" s="76" t="inlineStr">
        <is>
          <t>din care DE CUMPARAT:</t>
        </is>
      </c>
      <c r="G40" s="91">
        <f>SUMIF(I5:I37,"De cumparat*",G5:G37)</f>
        <v/>
      </c>
    </row>
    <row r="42">
      <c r="A42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29:I29"/>
    <mergeCell ref="A2:I2"/>
    <mergeCell ref="A5:I5"/>
    <mergeCell ref="A32:I32"/>
    <mergeCell ref="A14:I14"/>
    <mergeCell ref="A1:I1"/>
    <mergeCell ref="A23:I23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 · SOSITA 18.06.2026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 · DE VERIFICAT LA RECEPTIE: C2 14 vs 12 platit, inox 3 vs 2 platit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SOSIT 18.06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SOSIT 18.06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SOSIT 18.06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SOSIT 18.06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14</v>
      </c>
      <c r="E10" s="62">
        <f>C10*D10</f>
        <v/>
      </c>
      <c r="F10" s="96" t="inlineStr">
        <is>
          <t>SOSIT 18.06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SOSIT 18.06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SOSIT 18.06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SOSIT 18.06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3</v>
      </c>
      <c r="E14" s="62">
        <f>C14*D14</f>
        <v/>
      </c>
      <c r="F14" s="96" t="inlineStr">
        <is>
          <t>SOSIT 18.06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SOSIT 18.06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SOSIT 18.06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SOSIT 18.06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SOSIT 18.06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SOSIT 18.06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A27" s="47" t="inlineStr">
        <is>
          <t>Bulon M10×120 + piulita + saiba — balustrada (Faza 1)</t>
        </is>
      </c>
      <c r="B27" s="47" t="inlineStr">
        <is>
          <t>-</t>
        </is>
      </c>
      <c r="C27" s="47" t="n">
        <v>3.5</v>
      </c>
      <c r="D27" s="92" t="n">
        <v>12</v>
      </c>
      <c r="E27" s="93">
        <f>C27*D27</f>
        <v/>
      </c>
      <c r="F27" s="47" t="inlineStr">
        <is>
          <t>de confirmat</t>
        </is>
      </c>
      <c r="G27" s="47" t="inlineStr">
        <is>
          <t>BM</t>
        </is>
      </c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2026-07-23T14:27:16Z</dcterms:modified>
  <cp:revision>0</cp:revision>
</cp:coreProperties>
</file>