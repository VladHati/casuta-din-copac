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eriale" sheetId="1" state="visible" r:id="rId1"/>
    <sheet xmlns:r="http://schemas.openxmlformats.org/officeDocument/2006/relationships" name="Debitare" sheetId="2" state="visible" r:id="rId2"/>
    <sheet xmlns:r="http://schemas.openxmlformats.org/officeDocument/2006/relationships" name="Platforma premium" sheetId="3" state="visible" r:id="rId3"/>
    <sheet xmlns:r="http://schemas.openxmlformats.org/officeDocument/2006/relationships" name="Comanda Hornbach" sheetId="4" state="visible" r:id="rId4"/>
    <sheet xmlns:r="http://schemas.openxmlformats.org/officeDocument/2006/relationships"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/><Relationship Type="http://schemas.openxmlformats.org/officeDocument/2006/relationships/hyperlink" Target="https://www.leroymerlin.ro/produse/grinda-nerindeluita-lemn-rasinoase-100-x-100-x-4000-mm-11877411.html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pereti/acoperis/balustrada/scara).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6600</v>
      </c>
    </row>
    <row r="4" ht="15" customHeight="1" s="48">
      <c r="A4" s="51" t="inlineStr">
        <is>
          <t>Cheltuit — cumparat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De cumparat</t>
        </is>
      </c>
      <c r="K14" s="66" t="n"/>
      <c r="L14" s="66" t="inlineStr">
        <is>
          <t>2 grinzi; fata pe varful stalpului, spate pe polita + 2x M12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De cumparat</t>
        </is>
      </c>
      <c r="K15" s="95" t="n"/>
      <c r="L15" s="95" t="inlineStr">
        <is>
          <t>Inca 2 (la cele 4 Leroy) = 6 joiste, fata-spate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De cumparat</t>
        </is>
      </c>
      <c r="K16" s="66" t="n"/>
      <c r="L16" s="66" t="inlineStr">
        <is>
          <t>Podea casuta + balcon</t>
        </is>
      </c>
    </row>
    <row r="17" ht="21.75" customHeight="1" s="48">
      <c r="A17" s="94" t="inlineStr">
        <is>
          <t>Cadru</t>
        </is>
      </c>
      <c r="B17" s="95" t="inlineStr">
        <is>
          <t>Polita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 + blocaje + incadrare gaura. Gratis din offcut.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65" t="inlineStr">
        <is>
          <t>Pereti</t>
        </is>
      </c>
      <c r="B20" s="66" t="inlineStr">
        <is>
          <t>Scanduri pereti partiali</t>
        </is>
      </c>
      <c r="C20" s="65" t="inlineStr">
        <is>
          <t>28x90 mm</t>
        </is>
      </c>
      <c r="D20" s="65" t="n"/>
      <c r="E20" s="65" t="n"/>
      <c r="F20" s="67" t="n">
        <v>16</v>
      </c>
      <c r="G20" s="65" t="inlineStr">
        <is>
          <t>buc</t>
        </is>
      </c>
      <c r="H20" s="68" t="n">
        <v>38</v>
      </c>
      <c r="I20" s="69">
        <f>IF(AND(F20&lt;&gt;"",H20&lt;&gt;""),F20*H20,"")</f>
        <v/>
      </c>
      <c r="J20" s="73" t="inlineStr">
        <is>
          <t>De cumparat</t>
        </is>
      </c>
      <c r="K20" s="66" t="n"/>
      <c r="L20" s="66" t="inlineStr">
        <is>
          <t>Pereti pana la jumatate + ferestre</t>
        </is>
      </c>
    </row>
    <row r="21" ht="15" customHeight="1" s="48">
      <c r="A21" s="94" t="inlineStr">
        <is>
          <t>Acoperis</t>
        </is>
      </c>
      <c r="B21" s="95" t="inlineStr">
        <is>
          <t>Capriori acoperis</t>
        </is>
      </c>
      <c r="C21" s="94" t="inlineStr">
        <is>
          <t>60x100 mm</t>
        </is>
      </c>
      <c r="D21" s="94" t="n"/>
      <c r="E21" s="94" t="n"/>
      <c r="F21" s="60" t="n">
        <v>4</v>
      </c>
      <c r="G21" s="94" t="inlineStr">
        <is>
          <t>buc</t>
        </is>
      </c>
      <c r="H21" s="61" t="n">
        <v>39</v>
      </c>
      <c r="I21" s="62">
        <f>IF(AND(F21&lt;&gt;"",H21&lt;&gt;""),F21*H21,"")</f>
        <v/>
      </c>
      <c r="J21" s="74" t="inlineStr">
        <is>
          <t>De cumparat</t>
        </is>
      </c>
      <c r="K21" s="95" t="n"/>
      <c r="L21" s="95" t="inlineStr">
        <is>
          <t>Structura acoperis inclinat</t>
        </is>
      </c>
    </row>
    <row r="22" ht="21.75" customHeight="1" s="48">
      <c r="A22" s="65" t="inlineStr">
        <is>
          <t>Acoperis</t>
        </is>
      </c>
      <c r="B22" s="66" t="inlineStr">
        <is>
          <t>Invelitoare (policarbonat/scandura)</t>
        </is>
      </c>
      <c r="C22" s="65" t="inlineStr">
        <is>
          <t>-</t>
        </is>
      </c>
      <c r="D22" s="65" t="n"/>
      <c r="E22" s="65" t="n"/>
      <c r="F22" s="67" t="n">
        <v>1</v>
      </c>
      <c r="G22" s="65" t="inlineStr">
        <is>
          <t>set</t>
        </is>
      </c>
      <c r="H22" s="68" t="n"/>
      <c r="I22" s="69">
        <f>IF(AND(F22&lt;&gt;"",H22&lt;&gt;""),F22*H22,"")</f>
        <v/>
      </c>
      <c r="J22" s="75" t="inlineStr">
        <is>
          <t>De decis</t>
        </is>
      </c>
      <c r="K22" s="66" t="n"/>
      <c r="L22" s="66" t="inlineStr">
        <is>
          <t>Policarbonat ondulat sau sindrila bituminoasa</t>
        </is>
      </c>
    </row>
    <row r="23" ht="15" customHeight="1" s="48">
      <c r="A23" s="94" t="inlineStr">
        <is>
          <t>Scara</t>
        </is>
      </c>
      <c r="B23" s="95" t="inlineStr">
        <is>
          <t>Scara fixa + balustrada</t>
        </is>
      </c>
      <c r="C23" s="94" t="inlineStr">
        <is>
          <t>-</t>
        </is>
      </c>
      <c r="D23" s="94" t="n"/>
      <c r="E23" s="94" t="n"/>
      <c r="F23" s="60" t="n">
        <v>1</v>
      </c>
      <c r="G23" s="94" t="inlineStr">
        <is>
          <t>set</t>
        </is>
      </c>
      <c r="H23" s="61" t="n"/>
      <c r="I23" s="62">
        <f>IF(AND(F23&lt;&gt;"",H23&lt;&gt;""),F23*H23,"")</f>
        <v/>
      </c>
      <c r="J23" s="74" t="inlineStr">
        <is>
          <t>De cumparat</t>
        </is>
      </c>
      <c r="K23" s="95" t="n"/>
      <c r="L23" s="95" t="inlineStr">
        <is>
          <t>Cu balustrada, NU franghie</t>
        </is>
      </c>
    </row>
    <row r="24" ht="15" customHeight="1" s="48">
      <c r="A24" s="65" t="inlineStr">
        <is>
          <t>Feronerie</t>
        </is>
      </c>
      <c r="B24" s="66" t="inlineStr">
        <is>
          <t>Suruburi structurale Heco (set)</t>
        </is>
      </c>
      <c r="C24" s="65" t="inlineStr">
        <is>
          <t>8x200 + 6x100 + 6x80, 3 pac</t>
        </is>
      </c>
      <c r="D24" s="65" t="inlineStr">
        <is>
          <t>Hornbach</t>
        </is>
      </c>
      <c r="E24" s="65" t="inlineStr">
        <is>
          <t>10434633/398/139</t>
        </is>
      </c>
      <c r="F24" s="67" t="n">
        <v>3</v>
      </c>
      <c r="G24" s="65" t="inlineStr">
        <is>
          <t>pac</t>
        </is>
      </c>
      <c r="H24" s="68" t="n"/>
      <c r="I24" s="69" t="n">
        <v>536.77</v>
      </c>
      <c r="J24" s="73" t="inlineStr">
        <is>
          <t>De cumparat</t>
        </is>
      </c>
      <c r="K24" s="66" t="n"/>
      <c r="L24" s="66" t="inlineStr">
        <is>
          <t>Imbinari grinzi/stalpi/contrafise/blocaje</t>
        </is>
      </c>
    </row>
    <row r="25" ht="15" customHeight="1" s="48">
      <c r="A25" s="94" t="inlineStr">
        <is>
          <t>Feronerie</t>
        </is>
      </c>
      <c r="B25" s="95" t="inlineStr">
        <is>
          <t>Suruburi dusumea inox</t>
        </is>
      </c>
      <c r="C25" s="94" t="inlineStr">
        <is>
          <t>A2 5x60, 2 pac (100)</t>
        </is>
      </c>
      <c r="D25" s="94" t="inlineStr">
        <is>
          <t>Hornbach</t>
        </is>
      </c>
      <c r="E25" s="94" t="inlineStr">
        <is>
          <t>10528829</t>
        </is>
      </c>
      <c r="F25" s="60" t="n">
        <v>2</v>
      </c>
      <c r="G25" s="94" t="inlineStr">
        <is>
          <t>pac</t>
        </is>
      </c>
      <c r="H25" s="61" t="n">
        <v>55.82</v>
      </c>
      <c r="I25" s="62">
        <f>IF(AND(F25&lt;&gt;"",H25&lt;&gt;""),F25*H25,"")</f>
        <v/>
      </c>
      <c r="J25" s="74" t="inlineStr">
        <is>
          <t>De cumparat</t>
        </is>
      </c>
      <c r="K25" s="95" t="n"/>
      <c r="L25" s="95" t="inlineStr">
        <is>
          <t>Prindere larice (~204 buc)</t>
        </is>
      </c>
    </row>
    <row r="26" ht="15" customHeight="1" s="48">
      <c r="A26" s="65" t="inlineStr">
        <is>
          <t>Feronerie</t>
        </is>
      </c>
      <c r="B26" s="66" t="inlineStr">
        <is>
          <t>Coltare imbinare C1 + C2</t>
        </is>
      </c>
      <c r="C26" s="65" t="inlineStr">
        <is>
          <t>4x 100x100x90 + 12x 90x90x65</t>
        </is>
      </c>
      <c r="D26" s="65" t="inlineStr">
        <is>
          <t>Hornbach</t>
        </is>
      </c>
      <c r="E26" s="65" t="inlineStr">
        <is>
          <t>738965 / 738910</t>
        </is>
      </c>
      <c r="F26" s="67" t="n">
        <v>16</v>
      </c>
      <c r="G26" s="65" t="inlineStr">
        <is>
          <t>buc</t>
        </is>
      </c>
      <c r="H26" s="68" t="n"/>
      <c r="I26" s="69" t="n">
        <v>95.36</v>
      </c>
      <c r="J26" s="73" t="inlineStr">
        <is>
          <t>De cumparat</t>
        </is>
      </c>
      <c r="K26" s="66" t="n"/>
      <c r="L26" s="66" t="inlineStr">
        <is>
          <t>C1 grinda fata-&gt;stalp (4); C2 anti-ridicare joiste (12)</t>
        </is>
      </c>
    </row>
    <row r="27" ht="15" customHeight="1" s="48">
      <c r="A27" s="94" t="inlineStr">
        <is>
          <t>Feronerie</t>
        </is>
      </c>
      <c r="B27" s="95" t="inlineStr">
        <is>
          <t>Buloane M12 (baza + polita) + saibe</t>
        </is>
      </c>
      <c r="C27" s="94" t="inlineStr">
        <is>
          <t>8x M12x120 baza + 4x M12 lung polita</t>
        </is>
      </c>
      <c r="D27" s="94" t="inlineStr">
        <is>
          <t>Hornbach</t>
        </is>
      </c>
      <c r="E27" s="94" t="inlineStr">
        <is>
          <t>6834285 + set polita</t>
        </is>
      </c>
      <c r="F27" s="60" t="n">
        <v>1</v>
      </c>
      <c r="G27" s="94" t="inlineStr">
        <is>
          <t>set</t>
        </is>
      </c>
      <c r="H27" s="61" t="n"/>
      <c r="I27" s="62" t="n">
        <v>231.99</v>
      </c>
      <c r="J27" s="74" t="inlineStr">
        <is>
          <t>De cumparat</t>
        </is>
      </c>
      <c r="K27" s="95" t="n"/>
      <c r="L27" s="95" t="inlineStr">
        <is>
          <t>Baza papuc + polita grinda spate (vezi Comanda Hornbach)</t>
        </is>
      </c>
    </row>
    <row r="28" ht="15" customHeight="1" s="48">
      <c r="A28" s="65" t="inlineStr">
        <is>
          <t>Finisaj</t>
        </is>
      </c>
      <c r="B28" s="66" t="inlineStr">
        <is>
          <t>Ulei lemn tec (dusumea larice)</t>
        </is>
      </c>
      <c r="C28" s="65" t="inlineStr">
        <is>
          <t>Hornbach Plus 2,5 l</t>
        </is>
      </c>
      <c r="D28" s="65" t="inlineStr">
        <is>
          <t>Hornbach</t>
        </is>
      </c>
      <c r="E28" s="65" t="inlineStr">
        <is>
          <t>5509678</t>
        </is>
      </c>
      <c r="F28" s="67" t="n">
        <v>2</v>
      </c>
      <c r="G28" s="65" t="inlineStr">
        <is>
          <t>buc</t>
        </is>
      </c>
      <c r="H28" s="68" t="n">
        <v>144.39</v>
      </c>
      <c r="I28" s="69">
        <f>IF(AND(F28&lt;&gt;"",H28&lt;&gt;""),F28*H28,"")</f>
        <v/>
      </c>
      <c r="J28" s="73" t="inlineStr">
        <is>
          <t>De cumparat</t>
        </is>
      </c>
      <c r="K28" s="66" t="n"/>
      <c r="L28" s="66" t="inlineStr">
        <is>
          <t>Finisaj larice + lemn expus</t>
        </is>
      </c>
    </row>
    <row r="29" ht="15" customHeight="1" s="48">
      <c r="A29" s="94" t="inlineStr">
        <is>
          <t>Finisaj</t>
        </is>
      </c>
      <c r="B29" s="95" t="inlineStr">
        <is>
          <t>Lazura impregnare (grund structura)</t>
        </is>
      </c>
      <c r="C29" s="94" t="inlineStr">
        <is>
          <t>Hornbach exterior 2,5 l</t>
        </is>
      </c>
      <c r="D29" s="94" t="inlineStr">
        <is>
          <t>Hornbach</t>
        </is>
      </c>
      <c r="E29" s="94" t="inlineStr">
        <is>
          <t>12469765</t>
        </is>
      </c>
      <c r="F29" s="60" t="n">
        <v>2</v>
      </c>
      <c r="G29" s="94" t="inlineStr">
        <is>
          <t>buc</t>
        </is>
      </c>
      <c r="H29" s="61" t="n">
        <v>92.5</v>
      </c>
      <c r="I29" s="62">
        <f>IF(AND(F29&lt;&gt;"",H29&lt;&gt;""),F29*H29,"")</f>
        <v/>
      </c>
      <c r="J29" s="74" t="inlineStr">
        <is>
          <t>De cumparat</t>
        </is>
      </c>
      <c r="K29" s="95" t="n"/>
      <c r="L29" s="95" t="inlineStr">
        <is>
          <t>Strat de baza structura</t>
        </is>
      </c>
    </row>
    <row r="30" ht="15" customHeight="1" s="48">
      <c r="A30" s="65" t="inlineStr">
        <is>
          <t>Siguranta</t>
        </is>
      </c>
      <c r="B30" s="66" t="inlineStr">
        <is>
          <t>Material sol moale</t>
        </is>
      </c>
      <c r="C30" s="65" t="inlineStr">
        <is>
          <t>scoarta/nisip</t>
        </is>
      </c>
      <c r="D30" s="65" t="n"/>
      <c r="E30" s="65" t="n"/>
      <c r="F30" s="67" t="n">
        <v>1</v>
      </c>
      <c r="G30" s="65" t="inlineStr">
        <is>
          <t>lot</t>
        </is>
      </c>
      <c r="H30" s="68" t="n"/>
      <c r="I30" s="69">
        <f>IF(AND(F30&lt;&gt;"",H30&lt;&gt;""),F30*H30,"")</f>
        <v/>
      </c>
      <c r="J30" s="73" t="inlineStr">
        <is>
          <t>De cumparat</t>
        </is>
      </c>
      <c r="K30" s="66" t="n"/>
      <c r="L30" s="66" t="inlineStr">
        <is>
          <t>Sub platforma — amortizare cadere</t>
        </is>
      </c>
    </row>
    <row r="31" ht="15" customHeight="1" s="48">
      <c r="A31" s="94" t="inlineStr">
        <is>
          <t>Joaca</t>
        </is>
      </c>
      <c r="B31" s="95" t="inlineStr">
        <is>
          <t>Tobogan</t>
        </is>
      </c>
      <c r="C31" s="94" t="inlineStr">
        <is>
          <t>-</t>
        </is>
      </c>
      <c r="D31" s="94" t="n"/>
      <c r="E31" s="94" t="n"/>
      <c r="F31" s="60" t="n">
        <v>1</v>
      </c>
      <c r="G31" s="94" t="inlineStr">
        <is>
          <t>buc</t>
        </is>
      </c>
      <c r="H31" s="61" t="n"/>
      <c r="I31" s="62">
        <f>IF(AND(F31&lt;&gt;"",H31&lt;&gt;""),F31*H31,"")</f>
        <v/>
      </c>
      <c r="J31" s="72" t="inlineStr">
        <is>
          <t>De decis</t>
        </is>
      </c>
      <c r="K31" s="95" t="n"/>
      <c r="L31" s="95" t="inlineStr">
        <is>
          <t>Extra, optional</t>
        </is>
      </c>
    </row>
    <row r="32" ht="15" customHeight="1" s="48">
      <c r="A32" s="65" t="inlineStr">
        <is>
          <t>Joaca</t>
        </is>
      </c>
      <c r="B32" s="66" t="inlineStr">
        <is>
          <t>Franghie catarare / scripete cu galeata</t>
        </is>
      </c>
      <c r="C32" s="65" t="inlineStr">
        <is>
          <t>-</t>
        </is>
      </c>
      <c r="D32" s="65" t="n"/>
      <c r="E32" s="65" t="n"/>
      <c r="F32" s="67" t="n">
        <v>1</v>
      </c>
      <c r="G32" s="65" t="inlineStr">
        <is>
          <t>set</t>
        </is>
      </c>
      <c r="H32" s="68" t="n"/>
      <c r="I32" s="69">
        <f>IF(AND(F32&lt;&gt;"",H32&lt;&gt;""),F32*H32,"")</f>
        <v/>
      </c>
      <c r="J32" s="75" t="inlineStr">
        <is>
          <t>De decis</t>
        </is>
      </c>
      <c r="K32" s="66" t="n"/>
      <c r="L32" s="66" t="inlineStr">
        <is>
          <t>Extra, optional</t>
        </is>
      </c>
    </row>
    <row r="33">
      <c r="A33" s="65" t="inlineStr">
        <is>
          <t>Finisaj</t>
        </is>
      </c>
      <c r="B33" s="66" t="inlineStr">
        <is>
          <t>Topcoat colorat exterior</t>
        </is>
      </c>
      <c r="C33" s="65" t="inlineStr">
        <is>
          <t>alegerea ta de culoare</t>
        </is>
      </c>
      <c r="D33" s="65" t="n"/>
      <c r="E33" s="65" t="n"/>
      <c r="F33" s="67" t="n">
        <v>1</v>
      </c>
      <c r="G33" s="65" t="inlineStr">
        <is>
          <t>buc</t>
        </is>
      </c>
      <c r="H33" s="68" t="n">
        <v>170</v>
      </c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Culoarea finala; il alegi tu</t>
        </is>
      </c>
    </row>
    <row r="34" ht="15" customHeight="1" s="48">
      <c r="A34" s="76" t="inlineStr">
        <is>
          <t>Legenda status:</t>
        </is>
      </c>
      <c r="B34" s="77" t="inlineStr">
        <is>
          <t>Cumparat</t>
        </is>
      </c>
      <c r="C34" s="78" t="inlineStr">
        <is>
          <t>De cumparat</t>
        </is>
      </c>
      <c r="D34" s="79" t="inlineStr">
        <is>
          <t>De decis</t>
        </is>
      </c>
    </row>
    <row r="35" ht="15" customHeight="1" s="48">
      <c r="A35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95" t="inlineStr">
        <is>
          <t>Talpi + coronament pereti</t>
        </is>
      </c>
      <c r="C15" s="95" t="inlineStr">
        <is>
          <t>50×80</t>
        </is>
      </c>
      <c r="D15" s="97" t="inlineStr">
        <is>
          <t>var</t>
        </is>
      </c>
      <c r="E15" s="97" t="inlineStr">
        <is>
          <t>~6</t>
        </is>
      </c>
      <c r="F15" s="74" t="inlineStr">
        <is>
          <t>NOU</t>
        </is>
      </c>
      <c r="G15" s="94" t="inlineStr">
        <is>
          <t>oricare</t>
        </is>
      </c>
      <c r="H15" s="95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95" t="inlineStr">
        <is>
          <t>Montanti pereti</t>
        </is>
      </c>
      <c r="C16" s="95" t="inlineStr">
        <is>
          <t>50×80</t>
        </is>
      </c>
      <c r="D16" s="97" t="inlineStr">
        <is>
          <t>~1400</t>
        </is>
      </c>
      <c r="E16" s="97" t="inlineStr">
        <is>
          <t>~14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95" t="inlineStr">
        <is>
          <t>Capriori</t>
        </is>
      </c>
      <c r="C19" s="95" t="inlineStr">
        <is>
          <t>60×100</t>
        </is>
      </c>
      <c r="D19" s="97" t="inlineStr">
        <is>
          <t>~1400</t>
        </is>
      </c>
      <c r="E19" s="97" t="inlineStr">
        <is>
          <t>4</t>
        </is>
      </c>
      <c r="F19" s="74" t="inlineStr">
        <is>
          <t>NOU</t>
        </is>
      </c>
      <c r="G19" s="94" t="inlineStr">
        <is>
          <t>oricare</t>
        </is>
      </c>
      <c r="H19" s="95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95" t="inlineStr">
        <is>
          <t>Astereala acoperis</t>
        </is>
      </c>
      <c r="C20" s="95" t="inlineStr">
        <is>
          <t>OSB3 / scandura</t>
        </is>
      </c>
      <c r="D20" s="97" t="inlineStr">
        <is>
          <t>2500×1250</t>
        </is>
      </c>
      <c r="E20" s="97" t="inlineStr">
        <is>
          <t>1 placa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95" t="inlineStr">
        <is>
          <t>Stalpisori balustrada</t>
        </is>
      </c>
      <c r="C23" s="95" t="inlineStr">
        <is>
          <t>58×58</t>
        </is>
      </c>
      <c r="D23" s="97" t="inlineStr">
        <is>
          <t>1000</t>
        </is>
      </c>
      <c r="E23" s="97" t="inlineStr">
        <is>
          <t>7</t>
        </is>
      </c>
      <c r="F23" s="74" t="inlineStr">
        <is>
          <t>NOU</t>
        </is>
      </c>
      <c r="G23" s="94" t="inlineStr">
        <is>
          <t>Hornbach</t>
        </is>
      </c>
      <c r="H23" s="95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95" t="inlineStr">
        <is>
          <t>Mana curenta + rigla jos</t>
        </is>
      </c>
      <c r="C24" s="95" t="inlineStr">
        <is>
          <t>45×70</t>
        </is>
      </c>
      <c r="D24" s="97" t="inlineStr">
        <is>
          <t>~9 m total</t>
        </is>
      </c>
      <c r="E24" s="97" t="inlineStr">
        <is>
          <t>2</t>
        </is>
      </c>
      <c r="F24" s="74" t="inlineStr">
        <is>
          <t>NOU</t>
        </is>
      </c>
      <c r="G24" s="94" t="inlineStr">
        <is>
          <t>oricare</t>
        </is>
      </c>
      <c r="H24" s="95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95" t="inlineStr">
        <is>
          <t>Coarde scara</t>
        </is>
      </c>
      <c r="C27" s="95" t="inlineStr">
        <is>
          <t>60x140</t>
        </is>
      </c>
      <c r="D27" s="97" t="inlineStr">
        <is>
          <t>~3000</t>
        </is>
      </c>
      <c r="E27" s="97" t="inlineStr">
        <is>
          <t>2</t>
        </is>
      </c>
      <c r="F27" s="74" t="inlineStr">
        <is>
          <t>NOU</t>
        </is>
      </c>
      <c r="G27" s="94" t="inlineStr">
        <is>
          <t>oricare</t>
        </is>
      </c>
      <c r="H27" s="95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95" t="inlineStr">
        <is>
          <t>Trepte</t>
        </is>
      </c>
      <c r="C28" s="95" t="inlineStr">
        <is>
          <t>45x190</t>
        </is>
      </c>
      <c r="D28" s="97" t="inlineStr">
        <is>
          <t>600</t>
        </is>
      </c>
      <c r="E28" s="97" t="inlineStr">
        <is>
          <t>10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95" t="inlineStr">
        <is>
          <t>Blat masa</t>
        </is>
      </c>
      <c r="C31" s="95" t="inlineStr">
        <is>
          <t>panou / scandura lipita ~Ø500</t>
        </is>
      </c>
      <c r="D31" s="97" t="inlineStr">
        <is>
          <t>-</t>
        </is>
      </c>
      <c r="E31" s="97" t="inlineStr">
        <is>
          <t>1</t>
        </is>
      </c>
      <c r="F31" s="74" t="inlineStr">
        <is>
          <t>NOU/offcut</t>
        </is>
      </c>
      <c r="G31" s="94" t="inlineStr">
        <is>
          <t>oricare</t>
        </is>
      </c>
      <c r="H31" s="95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95" t="inlineStr">
        <is>
          <t>Buloane M12 + piulite + saibe</t>
        </is>
      </c>
      <c r="C34" s="95" t="inlineStr">
        <is>
          <t>M12: 8x120 + 4x~200</t>
        </is>
      </c>
      <c r="D34" s="97" t="inlineStr">
        <is>
          <t>-</t>
        </is>
      </c>
      <c r="E34" s="97" t="inlineStr">
        <is>
          <t>12</t>
        </is>
      </c>
      <c r="F34" s="74" t="inlineStr">
        <is>
          <t>NOU</t>
        </is>
      </c>
      <c r="G34" s="94" t="inlineStr">
        <is>
          <t>oricare</t>
        </is>
      </c>
      <c r="H34" s="95" t="inlineStr">
        <is>
          <t>4x polita (lung ~200) + 8x baza papuc (M12x120). Traseu principal de greutate.</t>
        </is>
      </c>
    </row>
    <row r="35" ht="15" customHeight="1" s="48">
      <c r="A35" s="72" t="inlineStr">
        <is>
          <t>P22</t>
        </is>
      </c>
      <c r="B35" s="95" t="inlineStr">
        <is>
          <t>Coltare metalice C1 + C2</t>
        </is>
      </c>
      <c r="C35" s="95" t="inlineStr">
        <is>
          <t>C1 100x100x90 (4) + C2 90x90x65 (12)</t>
        </is>
      </c>
      <c r="D35" s="97" t="inlineStr">
        <is>
          <t>-</t>
        </is>
      </c>
      <c r="E35" s="97" t="inlineStr">
        <is>
          <t>16</t>
        </is>
      </c>
      <c r="F35" s="74" t="inlineStr">
        <is>
          <t>NOU</t>
        </is>
      </c>
      <c r="G35" s="94" t="inlineStr">
        <is>
          <t>Hornbach</t>
        </is>
      </c>
      <c r="H35" s="95" t="inlineStr">
        <is>
          <t>C1 grinda fata-&gt;stalp (4); C2 joiste anti-ridicare (12).</t>
        </is>
      </c>
    </row>
    <row r="36" ht="15" customHeight="1" s="48">
      <c r="A36" s="72" t="inlineStr">
        <is>
          <t>P23</t>
        </is>
      </c>
      <c r="B36" s="95" t="inlineStr">
        <is>
          <t>Suruburi structurale Heco</t>
        </is>
      </c>
      <c r="C36" s="95" t="inlineStr">
        <is>
          <t>Heco 8x200, pac 100</t>
        </is>
      </c>
      <c r="D36" s="97" t="inlineStr">
        <is>
          <t>-</t>
        </is>
      </c>
      <c r="E36" s="97" t="inlineStr">
        <is>
          <t>1 pac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Imbinari lemn-lemn (cod 10434633). Fara pre-gaurire.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95" t="inlineStr">
        <is>
          <t>Grund izolare lemn</t>
        </is>
      </c>
      <c r="C39" s="95" t="inlineStr">
        <is>
          <t>2,5 l</t>
        </is>
      </c>
      <c r="D39" s="97" t="inlineStr">
        <is>
          <t>-</t>
        </is>
      </c>
      <c r="E39" s="97" t="inlineStr">
        <is>
          <t>1</t>
        </is>
      </c>
      <c r="F39" s="74" t="inlineStr">
        <is>
          <t>NOU</t>
        </is>
      </c>
      <c r="G39" s="94" t="inlineStr">
        <is>
          <t>Hornbach</t>
        </is>
      </c>
      <c r="H39" s="95" t="inlineStr">
        <is>
          <t>Strat de baza.</t>
        </is>
      </c>
    </row>
    <row r="40" ht="15" customHeight="1" s="48">
      <c r="A40" s="72" t="inlineStr">
        <is>
          <t>P26</t>
        </is>
      </c>
      <c r="B40" s="95" t="inlineStr">
        <is>
          <t>Vopsea protectie exterior</t>
        </is>
      </c>
      <c r="C40" s="95" t="inlineStr">
        <is>
          <t>6 l</t>
        </is>
      </c>
      <c r="D40" s="97" t="inlineStr">
        <is>
          <t>-</t>
        </is>
      </c>
      <c r="E40" s="97" t="inlineStr">
        <is>
          <t>2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Wetterschutz sau similar.</t>
        </is>
      </c>
    </row>
    <row r="41" ht="15" customHeight="1" s="48">
      <c r="A41" s="72" t="inlineStr">
        <is>
          <t>P27</t>
        </is>
      </c>
      <c r="B41" s="95" t="inlineStr">
        <is>
          <t>Sol moale sub platforma</t>
        </is>
      </c>
      <c r="C41" s="95" t="inlineStr">
        <is>
          <t>scoarta / nisip</t>
        </is>
      </c>
      <c r="D41" s="97" t="inlineStr">
        <is>
          <t>~5 m²</t>
        </is>
      </c>
      <c r="E41" s="97" t="inlineStr">
        <is>
          <t>1 lot</t>
        </is>
      </c>
      <c r="F41" s="74" t="inlineStr">
        <is>
          <t>NOU</t>
        </is>
      </c>
      <c r="G41" s="94" t="inlineStr">
        <is>
          <t>oricare</t>
        </is>
      </c>
      <c r="H41" s="95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4× polita grinda spate + 8× baza stalpi (2/papuc)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94" t="inlineStr">
        <is>
          <t>Dusumea</t>
        </is>
      </c>
      <c r="B14" s="95" t="inlineStr">
        <is>
          <t>Lemn terasa larice Konsta 28×145×3000</t>
        </is>
      </c>
      <c r="C14" s="94" t="inlineStr">
        <is>
          <t>Hornbach</t>
        </is>
      </c>
      <c r="D14" s="88" t="n">
        <v>79.90000000000001</v>
      </c>
      <c r="E14" s="60" t="n">
        <v>17</v>
      </c>
      <c r="F14" s="94" t="inlineStr">
        <is>
          <t>buc</t>
        </is>
      </c>
      <c r="G14" s="62">
        <f>IF(AND(D14&lt;&gt;"",E14&lt;&gt;""),D14*E14,"")</f>
        <v/>
      </c>
      <c r="H14" s="95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94" t="inlineStr">
        <is>
          <t>Conectori</t>
        </is>
      </c>
      <c r="B16" s="95" t="inlineStr">
        <is>
          <t>Coltar rigidizat Alberts 100×100×90×3</t>
        </is>
      </c>
      <c r="C16" s="94" t="inlineStr">
        <is>
          <t>Hornbach</t>
        </is>
      </c>
      <c r="D16" s="88" t="n">
        <v>9.35</v>
      </c>
      <c r="E16" s="60" t="n">
        <v>4</v>
      </c>
      <c r="F16" s="94" t="inlineStr">
        <is>
          <t>buc</t>
        </is>
      </c>
      <c r="G16" s="62">
        <f>IF(AND(D16&lt;&gt;"",E16&lt;&gt;""),D16*E16,"")</f>
        <v/>
      </c>
      <c r="H16" s="95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94" t="inlineStr">
        <is>
          <t>Conectori</t>
        </is>
      </c>
      <c r="B17" s="95" t="inlineStr">
        <is>
          <t>Coltar rigidizat Alberts 90×90×65</t>
        </is>
      </c>
      <c r="C17" s="94" t="inlineStr">
        <is>
          <t>Hornbach</t>
        </is>
      </c>
      <c r="D17" s="88" t="n">
        <v>4.83</v>
      </c>
      <c r="E17" s="60" t="n">
        <v>12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Joiste → grinda, anti-ridicare</t>
        </is>
      </c>
      <c r="I17" s="74" t="inlineStr">
        <is>
          <t>De cumparat</t>
        </is>
      </c>
    </row>
    <row r="18" ht="15" customHeight="1" s="48">
      <c r="A18" s="94" t="inlineStr">
        <is>
          <t>Suruburi</t>
        </is>
      </c>
      <c r="B18" s="95" t="inlineStr">
        <is>
          <t>Heco Topix-Plus 8×200 Torx (100 buc)</t>
        </is>
      </c>
      <c r="C18" s="94" t="inlineStr">
        <is>
          <t>Hornbach</t>
        </is>
      </c>
      <c r="D18" s="88" t="n">
        <v>369.1</v>
      </c>
      <c r="E18" s="60" t="n">
        <v>1</v>
      </c>
      <c r="F18" s="94" t="inlineStr">
        <is>
          <t>pac</t>
        </is>
      </c>
      <c r="G18" s="62">
        <f>IF(AND(D18&lt;&gt;"",E18&lt;&gt;""),D18*E18,"")</f>
        <v/>
      </c>
      <c r="H18" s="95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6x100 zincat (100 buc)</t>
        </is>
      </c>
      <c r="C19" s="94" t="inlineStr">
        <is>
          <t>Hornbach</t>
        </is>
      </c>
      <c r="D19" s="88" t="n">
        <v>94.87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Coltare, conectori, contrafise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6×80 (100 buc)</t>
        </is>
      </c>
      <c r="C20" s="94" t="inlineStr">
        <is>
          <t>Hornbach</t>
        </is>
      </c>
      <c r="D20" s="88" t="n">
        <v>72.8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Suruburi inox A2 5x60 dusumea (100 buc)</t>
        </is>
      </c>
      <c r="C21" s="94" t="inlineStr">
        <is>
          <t>Hornbach</t>
        </is>
      </c>
      <c r="D21" s="88" t="n">
        <v>55.82</v>
      </c>
      <c r="E21" s="60" t="n">
        <v>2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Prindere dusumea larice</t>
        </is>
      </c>
      <c r="I21" s="72" t="inlineStr">
        <is>
          <t>De cumparat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94" t="inlineStr">
        <is>
          <t>Scara</t>
        </is>
      </c>
      <c r="B23" s="95" t="inlineStr">
        <is>
          <t>Coarde scara KVH 60×140×3000</t>
        </is>
      </c>
      <c r="C23" s="94" t="inlineStr">
        <is>
          <t>Hornbach</t>
        </is>
      </c>
      <c r="D23" s="88" t="n">
        <v>130</v>
      </c>
      <c r="E23" s="60" t="n">
        <v>2</v>
      </c>
      <c r="F23" s="94" t="inlineStr">
        <is>
          <t>buc</t>
        </is>
      </c>
      <c r="G23" s="62">
        <f>IF(AND(D23&lt;&gt;"",E23&lt;&gt;""),D23*E23,"")</f>
        <v/>
      </c>
      <c r="H23" s="95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94" t="inlineStr">
        <is>
          <t>Scara</t>
        </is>
      </c>
      <c r="B24" s="95" t="inlineStr">
        <is>
          <t>Trepte larice/dulap 45×190 ~600 mm</t>
        </is>
      </c>
      <c r="C24" s="94" t="inlineStr">
        <is>
          <t>Hornbach</t>
        </is>
      </c>
      <c r="D24" s="88" t="n">
        <v>25</v>
      </c>
      <c r="E24" s="60" t="n">
        <v>10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11 trepte (riser 200, calcai 190)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Mana curenta + stalpisori (lemn)</t>
        </is>
      </c>
      <c r="C25" s="94" t="inlineStr">
        <is>
          <t>Hornbach</t>
        </is>
      </c>
      <c r="D25" s="88" t="n">
        <v>120</v>
      </c>
      <c r="E25" s="60" t="n">
        <v>1</v>
      </c>
      <c r="F25" s="94" t="inlineStr">
        <is>
          <t>set</t>
        </is>
      </c>
      <c r="G25" s="62">
        <f>IF(AND(D25&lt;&gt;"",E25&lt;&gt;""),D25*E25,"")</f>
        <v/>
      </c>
      <c r="H25" s="95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Feronerie scara (coltare + Heco + 2× M10)</t>
        </is>
      </c>
      <c r="C26" s="94" t="inlineStr">
        <is>
          <t>Hornbach</t>
        </is>
      </c>
      <c r="D26" s="88" t="n">
        <v>80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Dala/paver baza scara</t>
        </is>
      </c>
      <c r="C27" s="94" t="inlineStr">
        <is>
          <t>Hornbach</t>
        </is>
      </c>
      <c r="D27" s="88" t="n">
        <v>20</v>
      </c>
      <c r="E27" s="60" t="n">
        <v>1</v>
      </c>
      <c r="F27" s="94" t="inlineStr">
        <is>
          <t>buc</t>
        </is>
      </c>
      <c r="G27" s="62">
        <f>IF(AND(D27&lt;&gt;"",E27&lt;&gt;""),D27*E27,"")</f>
        <v/>
      </c>
      <c r="H27" s="95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94" t="inlineStr">
        <is>
          <t>Finisaj</t>
        </is>
      </c>
      <c r="B29" s="95" t="inlineStr">
        <is>
          <t>Ulei lemn tec Hornbach Plus 2,5 l</t>
        </is>
      </c>
      <c r="C29" s="94" t="inlineStr">
        <is>
          <t>Hornbach</t>
        </is>
      </c>
      <c r="D29" s="88" t="n">
        <v>144.39</v>
      </c>
      <c r="E29" s="60" t="n">
        <v>2</v>
      </c>
      <c r="F29" s="94" t="inlineStr">
        <is>
          <t>buc</t>
        </is>
      </c>
      <c r="G29" s="62">
        <f>IF(AND(D29&lt;&gt;"",E29&lt;&gt;""),D29*E29,"")</f>
        <v/>
      </c>
      <c r="H29" s="95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94" t="inlineStr">
        <is>
          <t>Finisaj</t>
        </is>
      </c>
      <c r="B30" s="95" t="inlineStr">
        <is>
          <t>Lazura impregnare exterior 2,5 l (grund)</t>
        </is>
      </c>
      <c r="C30" s="94" t="inlineStr">
        <is>
          <t>Hornbach</t>
        </is>
      </c>
      <c r="D30" s="88" t="n">
        <v>92.5</v>
      </c>
      <c r="E30" s="60" t="n">
        <v>2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Stalpi + joiste + capete</t>
        </is>
      </c>
      <c r="I30" s="72" t="inlineStr">
        <is>
          <t>De cumparat</t>
        </is>
      </c>
    </row>
    <row r="32" ht="15" customHeight="1" s="48">
      <c r="F32" s="89" t="inlineStr">
        <is>
          <t>TOTAL platforma:</t>
        </is>
      </c>
      <c r="G32" s="90">
        <f>SUM(G5:G30)</f>
        <v/>
      </c>
    </row>
    <row r="33" ht="15" customHeight="1" s="48">
      <c r="F33" s="76" t="inlineStr">
        <is>
          <t>din care DE CUMPARAT:</t>
        </is>
      </c>
      <c r="G33" s="91">
        <f>SUMIF(I5:I30,"De cumparat*",G5:G30)</f>
        <v/>
      </c>
    </row>
    <row r="35" ht="15" customHeight="1" s="48">
      <c r="A35" s="80" t="inlineStr">
        <is>
          <t>Scara: 11 trepte, riser 200 / calcai 190, ~49°, latime 600, mana curenta pe ambele parti, poarta la S3 (opus mesei de pe S4).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22:I22"/>
    <mergeCell ref="A35:I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</t>
        </is>
      </c>
    </row>
    <row r="2" ht="15" customHeight="1" s="48">
      <c r="A2" s="50" t="inlineStr">
        <is>
          <t>13 produse in cos. Coloana 'Cod piesa' leaga fiecare linie de catalogul de piese. + livrare 215 lei.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IN COS — adaugate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IN COS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IN COS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IN COS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IN COS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12</v>
      </c>
      <c r="E10" s="62">
        <f>C10*D10</f>
        <v/>
      </c>
      <c r="F10" s="96" t="inlineStr">
        <is>
          <t>IN COS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IN COS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IN COS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IN COS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2</v>
      </c>
      <c r="E14" s="62">
        <f>C14*D14</f>
        <v/>
      </c>
      <c r="F14" s="96" t="inlineStr">
        <is>
          <t>IN COS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IN COS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IN COS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IN COS</t>
        </is>
      </c>
      <c r="G17" s="94" t="inlineStr">
        <is>
          <t>B3</t>
        </is>
      </c>
    </row>
    <row r="18" ht="15" customHeight="1" s="48">
      <c r="A18" s="95" t="inlineStr">
        <is>
          <t>Lazura impregnare Hornbach exterior 2,5 l (grund)</t>
        </is>
      </c>
      <c r="B18" s="94" t="inlineStr">
        <is>
          <t>12469765</t>
        </is>
      </c>
      <c r="C18" s="88" t="n">
        <v>92.5</v>
      </c>
      <c r="D18" s="60" t="n">
        <v>2</v>
      </c>
      <c r="E18" s="62">
        <f>C18*D18</f>
        <v/>
      </c>
      <c r="F18" s="96" t="inlineStr">
        <is>
          <t>IN COS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Bulon M12 POLITA lung ~200 (set cu piulita, 25 buc)</t>
        </is>
      </c>
      <c r="B20" s="94" t="inlineStr">
        <is>
          <t>-</t>
        </is>
      </c>
      <c r="C20" s="88" t="n">
        <v>45</v>
      </c>
      <c r="D20" s="60" t="n">
        <v>1</v>
      </c>
      <c r="E20" s="62">
        <f>C20*D20</f>
        <v/>
      </c>
      <c r="F20" s="96" t="inlineStr">
        <is>
          <t>de confirmat</t>
        </is>
      </c>
      <c r="G20" s="94" t="inlineStr">
        <is>
          <t>B1</t>
        </is>
      </c>
    </row>
    <row r="21" ht="15" customHeight="1" s="48">
      <c r="A21" s="95" t="inlineStr">
        <is>
          <t>Piulite M12 — din raft la magazin</t>
        </is>
      </c>
      <c r="B21" s="94" t="inlineStr">
        <is>
          <t>-</t>
        </is>
      </c>
      <c r="C21" s="88" t="n">
        <v>15</v>
      </c>
      <c r="D21" s="60" t="n">
        <v>1</v>
      </c>
      <c r="E21" s="62">
        <f>C21*D21</f>
        <v/>
      </c>
      <c r="F21" s="96" t="inlineStr">
        <is>
          <t>de confirmat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D27" s="92" t="n"/>
      <c r="E27" s="93" t="n"/>
    </row>
    <row r="28" ht="15" customHeight="1" s="48">
      <c r="D28" s="92" t="inlineStr">
        <is>
          <t>in cos:</t>
        </is>
      </c>
      <c r="E28" s="93">
        <f>SUMIF(F6:F26,"IN COS",E6:E26)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</row>
    <row r="32" ht="15" customHeight="1" s="48">
      <c r="A32" s="80" t="inlineStr">
        <is>
          <t>NOTA: Coloana 'Cod piesa' = legenda din catalogul de piese (catalog-piese.html). B1 = bulon M12 LUNG (~200) pt polita — masori grosimea reala inainte de comanda. B2 = M12×120 pt baza papuc (deja in cos). Piulitele M12 (B4) se iau din raft la magazin. Topcoatul colorat (F3) il alegi tu.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2026-06-07T13:58:22Z</dcterms:created>
  <dcterms:modified xmlns:dcterms="http://purl.org/dc/terms/" xmlns:xsi="http://www.w3.org/2001/XMLSchema-instance" xsi:type="dcterms:W3CDTF">2026-06-09T10:33:35Z</dcterms:modified>
  <cp:revision>0</cp:revision>
</cp:coreProperties>
</file>