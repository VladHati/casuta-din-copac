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" sheetId="1" state="visible" r:id="rId1"/>
    <sheet name="Debitare" sheetId="2" state="visible" r:id="rId2"/>
    <sheet name="Platforma premium" sheetId="3" state="visible" r:id="rId3"/>
    <sheet name="Comanda Hornbach" sheetId="4" state="visible" r:id="rId4"/>
    <sheet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 /><Relationship Type="http://schemas.openxmlformats.org/officeDocument/2006/relationships/hyperlink" Target="https://www.leroymerlin.ro/produse/grinda-nerindeluita-lemn-rasinoase-100-x-100-x-4000-mm-11877411.html" TargetMode="Externa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8500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Sosit 18.06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Sosit 18.06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Sosit 18.06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47" t="inlineStr">
        <is>
          <t>Balustrada</t>
        </is>
      </c>
      <c r="B20" s="47" t="inlineStr">
        <is>
          <t>Buloane M10 (balustrada)</t>
        </is>
      </c>
      <c r="C20" s="47" t="inlineStr">
        <is>
          <t>M10×120 + piulita + saiba</t>
        </is>
      </c>
      <c r="D20" s="47" t="inlineStr">
        <is>
          <t>Hornbach</t>
        </is>
      </c>
      <c r="E20" s="47" t="inlineStr">
        <is>
          <t>-</t>
        </is>
      </c>
      <c r="F20" s="47" t="n">
        <v>12</v>
      </c>
      <c r="G20" s="47" t="inlineStr">
        <is>
          <t>buc</t>
        </is>
      </c>
      <c r="H20" s="47" t="n">
        <v>3.5</v>
      </c>
      <c r="I20" s="47">
        <f>IF(AND(F20&lt;&gt;"",H20&lt;&gt;""),F20*H20,"")</f>
        <v/>
      </c>
      <c r="J20" s="47" t="inlineStr">
        <is>
          <t>De cumparat</t>
        </is>
      </c>
      <c r="K20" s="47" t="inlineStr"/>
      <c r="L20" s="47" t="inlineStr">
        <is>
          <t>Faza 1; prinde stalpisorii 58x58 de cadru</t>
        </is>
      </c>
    </row>
    <row r="21" ht="15" customHeight="1" s="48">
      <c r="A21" s="65" t="inlineStr">
        <is>
          <t>Pereti</t>
        </is>
      </c>
      <c r="B21" s="66" t="inlineStr">
        <is>
          <t>Scanduri pereti partiali</t>
        </is>
      </c>
      <c r="C21" s="65" t="inlineStr">
        <is>
          <t>28x90 mm</t>
        </is>
      </c>
      <c r="D21" s="65" t="n"/>
      <c r="E21" s="65" t="n"/>
      <c r="F21" s="67" t="n">
        <v>16</v>
      </c>
      <c r="G21" s="65" t="inlineStr">
        <is>
          <t>buc</t>
        </is>
      </c>
      <c r="H21" s="68" t="n">
        <v>38</v>
      </c>
      <c r="I21" s="69">
        <f>IF(AND(F21&lt;&gt;"",H21&lt;&gt;""),F21*H21,"")</f>
        <v/>
      </c>
      <c r="J21" s="73" t="inlineStr">
        <is>
          <t>De cumparat</t>
        </is>
      </c>
      <c r="K21" s="66" t="n"/>
      <c r="L21" s="66" t="inlineStr">
        <is>
          <t>Pereti pana la jumatate + ferestre</t>
        </is>
      </c>
    </row>
    <row r="22" ht="21.75" customHeight="1" s="48">
      <c r="A22" s="94" t="inlineStr">
        <is>
          <t>Acoperis</t>
        </is>
      </c>
      <c r="B22" s="95" t="inlineStr">
        <is>
          <t>Capriori acoperis</t>
        </is>
      </c>
      <c r="C22" s="94" t="inlineStr">
        <is>
          <t>60x100 mm</t>
        </is>
      </c>
      <c r="D22" s="94" t="n"/>
      <c r="E22" s="94" t="n"/>
      <c r="F22" s="60" t="n">
        <v>4</v>
      </c>
      <c r="G22" s="94" t="inlineStr">
        <is>
          <t>buc</t>
        </is>
      </c>
      <c r="H22" s="61" t="n">
        <v>39</v>
      </c>
      <c r="I22" s="62">
        <f>IF(AND(F22&lt;&gt;"",H22&lt;&gt;""),F22*H22,"")</f>
        <v/>
      </c>
      <c r="J22" s="74" t="inlineStr">
        <is>
          <t>De cumparat</t>
        </is>
      </c>
      <c r="K22" s="95" t="n"/>
      <c r="L22" s="95" t="inlineStr">
        <is>
          <t>Structura acoperis inclinat</t>
        </is>
      </c>
    </row>
    <row r="23" ht="15" customHeight="1" s="48">
      <c r="A23" s="65" t="inlineStr">
        <is>
          <t>Acoperis</t>
        </is>
      </c>
      <c r="B23" s="66" t="inlineStr">
        <is>
          <t>Invelitoare (policarbonat/scandura)</t>
        </is>
      </c>
      <c r="C23" s="65" t="inlineStr">
        <is>
          <t>-</t>
        </is>
      </c>
      <c r="D23" s="65" t="n"/>
      <c r="E23" s="65" t="n"/>
      <c r="F23" s="67" t="n">
        <v>1</v>
      </c>
      <c r="G23" s="65" t="inlineStr">
        <is>
          <t>set</t>
        </is>
      </c>
      <c r="H23" s="68" t="n"/>
      <c r="I23" s="69">
        <f>IF(AND(F23&lt;&gt;"",H23&lt;&gt;""),F23*H23,"")</f>
        <v/>
      </c>
      <c r="J23" s="75" t="inlineStr">
        <is>
          <t>De decis</t>
        </is>
      </c>
      <c r="K23" s="66" t="n"/>
      <c r="L23" s="66" t="inlineStr">
        <is>
          <t>Policarbonat ondulat sau sindrila bituminoasa</t>
        </is>
      </c>
    </row>
    <row r="24" ht="15" customHeight="1" s="48">
      <c r="A24" s="94" t="inlineStr">
        <is>
          <t>Scara</t>
        </is>
      </c>
      <c r="B24" s="95" t="inlineStr">
        <is>
          <t>Scara fixa + balustrada</t>
        </is>
      </c>
      <c r="C24" s="94" t="inlineStr">
        <is>
          <t>-</t>
        </is>
      </c>
      <c r="D24" s="94" t="n"/>
      <c r="E24" s="94" t="n"/>
      <c r="F24" s="60" t="n">
        <v>1</v>
      </c>
      <c r="G24" s="94" t="inlineStr">
        <is>
          <t>set</t>
        </is>
      </c>
      <c r="H24" s="61" t="n"/>
      <c r="I24" s="62">
        <f>IF(AND(F24&lt;&gt;"",H24&lt;&gt;""),F24*H24,"")</f>
        <v/>
      </c>
      <c r="J24" s="74" t="inlineStr">
        <is>
          <t>De cumparat</t>
        </is>
      </c>
      <c r="K24" s="95" t="n"/>
      <c r="L24" s="95" t="inlineStr">
        <is>
          <t>Cu balustrada, NU franghie</t>
        </is>
      </c>
    </row>
    <row r="25" ht="15" customHeight="1" s="48">
      <c r="A25" s="65" t="inlineStr">
        <is>
          <t>Feronerie</t>
        </is>
      </c>
      <c r="B25" s="66" t="inlineStr">
        <is>
          <t>Suruburi structurale Heco (set)</t>
        </is>
      </c>
      <c r="C25" s="65" t="inlineStr">
        <is>
          <t>8x200 + 6x100 + 6x80, 3 pac</t>
        </is>
      </c>
      <c r="D25" s="65" t="inlineStr">
        <is>
          <t>Hornbach</t>
        </is>
      </c>
      <c r="E25" s="65" t="inlineStr">
        <is>
          <t>10434633/398/139</t>
        </is>
      </c>
      <c r="F25" s="67" t="n">
        <v>3</v>
      </c>
      <c r="G25" s="65" t="inlineStr">
        <is>
          <t>pac</t>
        </is>
      </c>
      <c r="H25" s="68" t="n"/>
      <c r="I25" s="69" t="n">
        <v>536.77</v>
      </c>
      <c r="J25" s="73" t="inlineStr">
        <is>
          <t>Sosit 18.06</t>
        </is>
      </c>
      <c r="K25" s="66" t="n"/>
      <c r="L25" s="66" t="inlineStr">
        <is>
          <t>Imbinari grinzi/stalpi/contrafise/blocaje · comanda 09.06.2026</t>
        </is>
      </c>
    </row>
    <row r="26" ht="15" customHeight="1" s="48">
      <c r="A26" s="94" t="inlineStr">
        <is>
          <t>Feronerie</t>
        </is>
      </c>
      <c r="B26" s="95" t="inlineStr">
        <is>
          <t>Suruburi dusumea inox</t>
        </is>
      </c>
      <c r="C26" s="94" t="inlineStr">
        <is>
          <t>A2 5x60, 3 pac (300)</t>
        </is>
      </c>
      <c r="D26" s="94" t="inlineStr">
        <is>
          <t>Hornbach</t>
        </is>
      </c>
      <c r="E26" s="94" t="inlineStr">
        <is>
          <t>10528829</t>
        </is>
      </c>
      <c r="F26" s="60" t="n">
        <v>3</v>
      </c>
      <c r="G26" s="94" t="inlineStr">
        <is>
          <t>pac</t>
        </is>
      </c>
      <c r="H26" s="61" t="n">
        <v>55.82</v>
      </c>
      <c r="I26" s="62">
        <f>IF(AND(F26&lt;&gt;"",H26&lt;&gt;""),F26*H26,"")</f>
        <v/>
      </c>
      <c r="J26" s="74" t="inlineStr">
        <is>
          <t>Sosit 18.06</t>
        </is>
      </c>
      <c r="K26" s="95" t="n"/>
      <c r="L26" s="95" t="inlineStr">
        <is>
          <t>Prindere larice (~204 buc necesare, 3 pachete) · comanda 09.06.2026</t>
        </is>
      </c>
    </row>
    <row r="27" ht="15" customHeight="1" s="48">
      <c r="A27" s="65" t="inlineStr">
        <is>
          <t>Feronerie</t>
        </is>
      </c>
      <c r="B27" s="66" t="inlineStr">
        <is>
          <t>Coltare imbinare C1 + C2</t>
        </is>
      </c>
      <c r="C27" s="65" t="inlineStr">
        <is>
          <t>4x 100x100x90 + 14x 90x90x65</t>
        </is>
      </c>
      <c r="D27" s="65" t="inlineStr">
        <is>
          <t>Hornbach</t>
        </is>
      </c>
      <c r="E27" s="65" t="inlineStr">
        <is>
          <t>738965 / 738910</t>
        </is>
      </c>
      <c r="F27" s="67" t="n">
        <v>18</v>
      </c>
      <c r="G27" s="65" t="inlineStr">
        <is>
          <t>buc</t>
        </is>
      </c>
      <c r="H27" s="68" t="n"/>
      <c r="I27" s="69" t="n">
        <v>95.36</v>
      </c>
      <c r="J27" s="73" t="inlineStr">
        <is>
          <t>Sosit 18.06</t>
        </is>
      </c>
      <c r="K27" s="66" t="n"/>
      <c r="L27" s="66" t="inlineStr">
        <is>
          <t>C1 grinda fata-&gt;stalp (4); C2 anti-ridicare (12 joiste + 2 grinda spate = 14) · comanda 09.06.2026</t>
        </is>
      </c>
    </row>
    <row r="28" ht="15" customHeight="1" s="48">
      <c r="A28" s="94" t="inlineStr">
        <is>
          <t>Feronerie</t>
        </is>
      </c>
      <c r="B28" s="95" t="inlineStr">
        <is>
          <t>Buloane M12: baza papuc + tija polita + piulite</t>
        </is>
      </c>
      <c r="C28" s="94" t="inlineStr">
        <is>
          <t>M12x120 (8) baza + tija M12 (4x~220) polita</t>
        </is>
      </c>
      <c r="D28" s="94" t="inlineStr">
        <is>
          <t>Hornbach</t>
        </is>
      </c>
      <c r="E28" s="94" t="inlineStr">
        <is>
          <t>6834285 / 12130958 / 3830642</t>
        </is>
      </c>
      <c r="F28" s="60" t="n">
        <v>1</v>
      </c>
      <c r="G28" s="94" t="inlineStr">
        <is>
          <t>set</t>
        </is>
      </c>
      <c r="H28" s="61" t="n"/>
      <c r="I28" s="62" t="n">
        <v>239.39</v>
      </c>
      <c r="J28" s="74" t="inlineStr">
        <is>
          <t>Sosit 18.06</t>
        </is>
      </c>
      <c r="K28" s="95" t="n"/>
      <c r="L28" s="95" t="inlineStr">
        <is>
          <t>Baza papuc (B2) + polita din tija taiata (B1) + piulite (B4) + saibe (B3). Toate in cos. · comanda 09.06.2026</t>
        </is>
      </c>
    </row>
    <row r="29" ht="15" customHeight="1" s="48">
      <c r="A29" s="65" t="inlineStr">
        <is>
          <t>Finisaj</t>
        </is>
      </c>
      <c r="B29" s="66" t="inlineStr">
        <is>
          <t>Ulei lemn tec (dusumea larice)</t>
        </is>
      </c>
      <c r="C29" s="65" t="inlineStr">
        <is>
          <t>Hornbach Plus 2,5 l</t>
        </is>
      </c>
      <c r="D29" s="65" t="inlineStr">
        <is>
          <t>Hornbach</t>
        </is>
      </c>
      <c r="E29" s="65" t="inlineStr">
        <is>
          <t>5509678</t>
        </is>
      </c>
      <c r="F29" s="67" t="n">
        <v>2</v>
      </c>
      <c r="G29" s="65" t="inlineStr">
        <is>
          <t>buc</t>
        </is>
      </c>
      <c r="H29" s="68" t="n">
        <v>144.39</v>
      </c>
      <c r="I29" s="69">
        <f>IF(AND(F29&lt;&gt;"",H29&lt;&gt;""),F29*H29,"")</f>
        <v/>
      </c>
      <c r="J29" s="73" t="inlineStr">
        <is>
          <t>Sosit 18.06</t>
        </is>
      </c>
      <c r="K29" s="66" t="n"/>
      <c r="L29" s="66" t="inlineStr">
        <is>
          <t>Finisaj larice + lemn expus · comanda 09.06.2026</t>
        </is>
      </c>
    </row>
    <row r="30" ht="15" customHeight="1" s="48">
      <c r="A30" s="94" t="inlineStr">
        <is>
          <t>Finisaj</t>
        </is>
      </c>
      <c r="B30" s="95" t="inlineStr">
        <is>
          <t>Grund impregnare lemn (AVEM)</t>
        </is>
      </c>
      <c r="C30" s="94" t="inlineStr">
        <is>
          <t>Köber pe baza de apa 4 L</t>
        </is>
      </c>
      <c r="D30" s="94" t="inlineStr">
        <is>
          <t>-</t>
        </is>
      </c>
      <c r="E30" s="94" t="n"/>
      <c r="F30" s="60" t="n">
        <v>1</v>
      </c>
      <c r="G30" s="94" t="inlineStr">
        <is>
          <t>buc</t>
        </is>
      </c>
      <c r="H30" s="61" t="n">
        <v>0</v>
      </c>
      <c r="I30" s="62">
        <f>IF(AND(F30&lt;&gt;"",H30&lt;&gt;""),F30*H30,"")</f>
        <v/>
      </c>
      <c r="J30" s="74" t="inlineStr">
        <is>
          <t>Cumparat</t>
        </is>
      </c>
      <c r="K30" s="95" t="n"/>
      <c r="L30" s="95" t="inlineStr">
        <is>
          <t>Il avem deja; inlocuieste lazura Hornbach. Strat de baza structura.</t>
        </is>
      </c>
    </row>
    <row r="31" ht="15" customHeight="1" s="48">
      <c r="A31" s="65" t="inlineStr">
        <is>
          <t>Siguranta</t>
        </is>
      </c>
      <c r="B31" s="66" t="inlineStr">
        <is>
          <t>Material sol moale</t>
        </is>
      </c>
      <c r="C31" s="65" t="inlineStr">
        <is>
          <t>scoarta/nisip</t>
        </is>
      </c>
      <c r="D31" s="65" t="n"/>
      <c r="E31" s="65" t="n"/>
      <c r="F31" s="67" t="n">
        <v>1</v>
      </c>
      <c r="G31" s="65" t="inlineStr">
        <is>
          <t>lot</t>
        </is>
      </c>
      <c r="H31" s="68" t="n"/>
      <c r="I31" s="69">
        <f>IF(AND(F31&lt;&gt;"",H31&lt;&gt;""),F31*H31,"")</f>
        <v/>
      </c>
      <c r="J31" s="73" t="inlineStr">
        <is>
          <t>De cumparat</t>
        </is>
      </c>
      <c r="K31" s="66" t="n"/>
      <c r="L31" s="66" t="inlineStr">
        <is>
          <t>Sub platforma — amortizare cadere</t>
        </is>
      </c>
    </row>
    <row r="32" ht="15" customHeight="1" s="48">
      <c r="A32" s="94" t="inlineStr">
        <is>
          <t>Joaca</t>
        </is>
      </c>
      <c r="B32" s="95" t="inlineStr">
        <is>
          <t>Tobogan</t>
        </is>
      </c>
      <c r="C32" s="94" t="inlineStr">
        <is>
          <t>-</t>
        </is>
      </c>
      <c r="D32" s="94" t="n"/>
      <c r="E32" s="94" t="n"/>
      <c r="F32" s="60" t="n">
        <v>1</v>
      </c>
      <c r="G32" s="94" t="inlineStr">
        <is>
          <t>buc</t>
        </is>
      </c>
      <c r="H32" s="61" t="n"/>
      <c r="I32" s="62">
        <f>IF(AND(F32&lt;&gt;"",H32&lt;&gt;""),F32*H32,"")</f>
        <v/>
      </c>
      <c r="J32" s="72" t="inlineStr">
        <is>
          <t>De decis</t>
        </is>
      </c>
      <c r="K32" s="95" t="n"/>
      <c r="L32" s="95" t="inlineStr">
        <is>
          <t>Extra, optional</t>
        </is>
      </c>
    </row>
    <row r="33">
      <c r="A33" s="65" t="inlineStr">
        <is>
          <t>Joaca</t>
        </is>
      </c>
      <c r="B33" s="66" t="inlineStr">
        <is>
          <t>Franghie catarare / scripete cu galeata</t>
        </is>
      </c>
      <c r="C33" s="65" t="inlineStr">
        <is>
          <t>-</t>
        </is>
      </c>
      <c r="D33" s="65" t="n"/>
      <c r="E33" s="65" t="n"/>
      <c r="F33" s="67" t="n">
        <v>1</v>
      </c>
      <c r="G33" s="65" t="inlineStr">
        <is>
          <t>set</t>
        </is>
      </c>
      <c r="H33" s="68" t="n"/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Extra, optional</t>
        </is>
      </c>
    </row>
    <row r="34" ht="15" customHeight="1" s="48">
      <c r="A34" s="65" t="inlineStr">
        <is>
          <t>Finisaj</t>
        </is>
      </c>
      <c r="B34" s="66" t="inlineStr">
        <is>
          <t>Topcoat colorat exterior</t>
        </is>
      </c>
      <c r="C34" s="65" t="inlineStr">
        <is>
          <t>alegerea ta de culoare</t>
        </is>
      </c>
      <c r="D34" s="65" t="n"/>
      <c r="E34" s="65" t="n"/>
      <c r="F34" s="67" t="n">
        <v>1</v>
      </c>
      <c r="G34" s="65" t="inlineStr">
        <is>
          <t>buc</t>
        </is>
      </c>
      <c r="H34" s="68" t="n">
        <v>170</v>
      </c>
      <c r="I34" s="69">
        <f>IF(AND(F34&lt;&gt;"",H34&lt;&gt;""),F34*H34,"")</f>
        <v/>
      </c>
      <c r="J34" s="75" t="inlineStr">
        <is>
          <t>De decis</t>
        </is>
      </c>
      <c r="K34" s="66" t="n"/>
      <c r="L34" s="66" t="inlineStr">
        <is>
          <t>Culoarea finala; il alegi tu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</t>
        </is>
      </c>
      <c r="C35" s="47" t="inlineStr">
        <is>
          <t>45x70, ~9 m total</t>
        </is>
      </c>
      <c r="D35" s="47" t="inlineStr">
        <is>
          <t>Hornbach</t>
        </is>
      </c>
      <c r="F35" s="47" t="n">
        <v>2</v>
      </c>
      <c r="G35" s="47" t="inlineStr">
        <is>
          <t>buc</t>
        </is>
      </c>
      <c r="I35" s="47">
        <f>IF(AND(F35&lt;&gt;"",H35&lt;&gt;""),F35*H35,"")</f>
        <v/>
      </c>
      <c r="J35" s="47" t="inlineStr">
        <is>
          <t>De cumparat</t>
        </is>
      </c>
      <c r="L35" s="47" t="inlineStr">
        <is>
          <t>Sus+jos pe 3 laturi; lipsea din tracker</t>
        </is>
      </c>
    </row>
    <row r="36">
      <c r="A36" s="47" t="inlineStr">
        <is>
          <t>Balustrada</t>
        </is>
      </c>
      <c r="B36" s="47" t="inlineStr">
        <is>
          <t>Feronerie poarta</t>
        </is>
      </c>
      <c r="C36" s="47" t="inlineStr">
        <is>
          <t>2x balama cu arc (self-close) + zavor copil sus</t>
        </is>
      </c>
      <c r="F36" s="47" t="n">
        <v>1</v>
      </c>
      <c r="G36" s="47" t="inlineStr">
        <is>
          <t>set</t>
        </is>
      </c>
      <c r="I36" s="47">
        <f>IF(AND(F36&lt;&gt;"",H36&lt;&gt;""),F36*H36,"")</f>
        <v/>
      </c>
      <c r="J36" s="47" t="inlineStr">
        <is>
          <t>De cumparat</t>
        </is>
      </c>
      <c r="L36" s="47" t="inlineStr">
        <is>
          <t>Poarta auto-inchidere la capul scarii (SIG-03)</t>
        </is>
      </c>
    </row>
    <row r="37">
      <c r="A37" s="76" t="inlineStr">
        <is>
          <t>Legenda status:</t>
        </is>
      </c>
      <c r="B37" s="77" t="inlineStr">
        <is>
          <t>Cumparat</t>
        </is>
      </c>
      <c r="C37" s="78" t="inlineStr">
        <is>
          <t>De cumparat</t>
        </is>
      </c>
      <c r="D37" s="79" t="inlineStr">
        <is>
          <t>De decis</t>
        </is>
      </c>
    </row>
    <row r="38">
      <c r="A38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baza + tija M12 polita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Baza papuc: 8x M12x120. Polita: tija filetata M12 1m taiata in 4x ~220 mm (cod 12130958) + piulite + saibe.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(14)</t>
        </is>
      </c>
      <c r="D35" s="97" t="inlineStr">
        <is>
          <t>-</t>
        </is>
      </c>
      <c r="E35" s="97" t="inlineStr">
        <is>
          <t>18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(14).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14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 + grinda spate, anti-ridicare (12+2=14)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3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10 trepte (11 niveluri)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Grund impregnare Köber 4 L (AVEM)</t>
        </is>
      </c>
      <c r="C30" s="94" t="inlineStr">
        <is>
          <t>Hornbach</t>
        </is>
      </c>
      <c r="D30" s="88" t="n">
        <v>0</v>
      </c>
      <c r="E30" s="60" t="n">
        <v>1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AVEM</t>
        </is>
      </c>
    </row>
    <row r="31">
      <c r="A31" s="47" t="inlineStr">
        <is>
          <t>BALUSTRADA</t>
        </is>
      </c>
    </row>
    <row r="32" ht="15" customHeight="1" s="48">
      <c r="A32" s="47" t="inlineStr">
        <is>
          <t>Balustrada</t>
        </is>
      </c>
      <c r="B32" s="47" t="inlineStr">
        <is>
          <t>Stalpisori 58x58, h=100 cm</t>
        </is>
      </c>
      <c r="C32" s="47" t="inlineStr">
        <is>
          <t>Hornbach</t>
        </is>
      </c>
      <c r="D32" s="47" t="n">
        <v>60.91</v>
      </c>
      <c r="E32" s="47" t="n">
        <v>7</v>
      </c>
      <c r="F32" s="47" t="inlineStr">
        <is>
          <t>buc</t>
        </is>
      </c>
      <c r="G32" s="47">
        <f>IF(AND(D32&lt;&gt;"",E32&lt;&gt;""),D32*E32,"")</f>
        <v/>
      </c>
      <c r="H32" s="47" t="inlineStr">
        <is>
          <t>Stalpisori balustrada, jur-imprejur</t>
        </is>
      </c>
      <c r="I32" s="47" t="inlineStr">
        <is>
          <t>De cumparat (est.)</t>
        </is>
      </c>
    </row>
    <row r="33" ht="15" customHeight="1" s="48">
      <c r="A33" s="47" t="inlineStr">
        <is>
          <t>Balustrada</t>
        </is>
      </c>
      <c r="B33" s="47" t="inlineStr">
        <is>
          <t>Sipci 18x18 umplutura goluri</t>
        </is>
      </c>
      <c r="C33" s="47" t="inlineStr">
        <is>
          <t>Hornbach</t>
        </is>
      </c>
      <c r="D33" s="47" t="n">
        <v>3.3</v>
      </c>
      <c r="E33" s="47" t="n">
        <v>24</v>
      </c>
      <c r="F33" s="47" t="inlineStr">
        <is>
          <t>buc</t>
        </is>
      </c>
      <c r="G33" s="47">
        <f>IF(AND(D33&lt;&gt;"",E33&lt;&gt;""),D33*E33,"")</f>
        <v/>
      </c>
      <c r="H33" s="47" t="inlineStr">
        <is>
          <t>Goluri sub 9 cm</t>
        </is>
      </c>
      <c r="I33" s="47" t="inlineStr">
        <is>
          <t>De cumparat (est.)</t>
        </is>
      </c>
    </row>
    <row r="34">
      <c r="A34" s="47" t="inlineStr">
        <is>
          <t>Balustrada</t>
        </is>
      </c>
      <c r="B34" s="47" t="inlineStr">
        <is>
          <t>Mana curenta + rigla jos 45x70</t>
        </is>
      </c>
      <c r="C34" s="47" t="inlineStr">
        <is>
          <t>Hornbach</t>
        </is>
      </c>
      <c r="D34" s="47" t="inlineStr">
        <is>
          <t>est.</t>
        </is>
      </c>
      <c r="E34" s="47" t="n">
        <v>2</v>
      </c>
      <c r="F34" s="47" t="inlineStr">
        <is>
          <t>buc</t>
        </is>
      </c>
      <c r="H34" s="47" t="inlineStr">
        <is>
          <t>Sus+jos, ~9 m total (3 laturi)</t>
        </is>
      </c>
      <c r="I34" s="47" t="inlineStr">
        <is>
          <t>De cumparat (est.)</t>
        </is>
      </c>
    </row>
    <row r="35" ht="15" customHeight="1" s="48">
      <c r="A35" s="47" t="inlineStr">
        <is>
          <t>Balustrada</t>
        </is>
      </c>
      <c r="B35" s="47" t="inlineStr">
        <is>
          <t>Buloane M10x120 + piulita + saiba</t>
        </is>
      </c>
      <c r="C35" s="47" t="inlineStr">
        <is>
          <t>Hornbach</t>
        </is>
      </c>
      <c r="D35" s="47" t="n">
        <v>3.5</v>
      </c>
      <c r="E35" s="47" t="n">
        <v>14</v>
      </c>
      <c r="F35" s="47" t="inlineStr">
        <is>
          <t>buc</t>
        </is>
      </c>
      <c r="G35" s="47">
        <f>IF(AND(D35&lt;&gt;"",E35&lt;&gt;""),D35*E35,"")</f>
        <v/>
      </c>
      <c r="H35" s="47" t="inlineStr">
        <is>
          <t>Prindere stalpisori de cadru</t>
        </is>
      </c>
      <c r="I35" s="47" t="inlineStr">
        <is>
          <t>De cumparat (est.)</t>
        </is>
      </c>
    </row>
    <row r="36">
      <c r="A36" s="47" t="inlineStr">
        <is>
          <t>Balustrada</t>
        </is>
      </c>
      <c r="B36" s="47" t="inlineStr">
        <is>
          <t>Feronerie poarta (self-close)</t>
        </is>
      </c>
      <c r="C36" s="47" t="inlineStr">
        <is>
          <t>Hornbach</t>
        </is>
      </c>
      <c r="D36" s="47" t="inlineStr">
        <is>
          <t>est.</t>
        </is>
      </c>
      <c r="E36" s="47" t="n">
        <v>1</v>
      </c>
      <c r="F36" s="47" t="inlineStr">
        <is>
          <t>set</t>
        </is>
      </c>
      <c r="H36" s="47" t="inlineStr">
        <is>
          <t>2x balama arc + zavor copil sus; de confirmat</t>
        </is>
      </c>
      <c r="I36" s="47" t="inlineStr">
        <is>
          <t>De cumparat (est.)</t>
        </is>
      </c>
    </row>
    <row r="38">
      <c r="F38" s="89" t="inlineStr">
        <is>
          <t>TOTAL platforma:</t>
        </is>
      </c>
      <c r="G38" s="90">
        <f>SUM(G5:G36)</f>
        <v/>
      </c>
    </row>
    <row r="39">
      <c r="F39" s="76" t="inlineStr">
        <is>
          <t>din care DE CUMPARAT:</t>
        </is>
      </c>
      <c r="G39" s="91">
        <f>SUMIF(I5:I36,"De cumparat*",G5:G36)</f>
        <v/>
      </c>
    </row>
    <row r="41">
      <c r="A41" s="80" t="inlineStr">
        <is>
          <t>Scara: 10 trepte (11 niveluri),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31:I31"/>
    <mergeCell ref="A22:I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 · SOSITA 18.06.2026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 · DE VERIFICAT LA RECEPTIE: C2 14 vs 12 platit, inox 3 vs 2 platit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SOSIT 18.06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SOSIT 18.06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SOSIT 18.06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SOSIT 18.06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14</v>
      </c>
      <c r="E10" s="62">
        <f>C10*D10</f>
        <v/>
      </c>
      <c r="F10" s="96" t="inlineStr">
        <is>
          <t>SOSIT 18.06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SOSIT 18.06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SOSIT 18.06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SOSIT 18.06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3</v>
      </c>
      <c r="E14" s="62">
        <f>C14*D14</f>
        <v/>
      </c>
      <c r="F14" s="96" t="inlineStr">
        <is>
          <t>SOSIT 18.06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SOSIT 18.06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SOSIT 18.06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SOSIT 18.06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SOSIT 18.06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SOSIT 18.06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A27" s="47" t="inlineStr">
        <is>
          <t>Bulon M10×120 + piulita + saiba — balustrada (Faza 1)</t>
        </is>
      </c>
      <c r="B27" s="47" t="inlineStr">
        <is>
          <t>-</t>
        </is>
      </c>
      <c r="C27" s="47" t="n">
        <v>3.5</v>
      </c>
      <c r="D27" s="92" t="n">
        <v>12</v>
      </c>
      <c r="E27" s="93">
        <f>C27*D27</f>
        <v/>
      </c>
      <c r="F27" s="47" t="inlineStr">
        <is>
          <t>de confirmat</t>
        </is>
      </c>
      <c r="G27" s="47" t="inlineStr">
        <is>
          <t>BM</t>
        </is>
      </c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s="47" t="inlineStr">
        <is>
          <t>TOTAL PLATIT:</t>
        </is>
      </c>
      <c r="E31" s="47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2026-06-07T13:58:22Z</dcterms:created>
  <dcterms:modified xsi:type="dcterms:W3CDTF">2026-06-18T08:48:43Z</dcterms:modified>
  <cp:revision>0</cp:revision>
</cp:coreProperties>
</file>